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lln\CWN Work\Project-Tracking\document\"/>
    </mc:Choice>
  </mc:AlternateContent>
  <xr:revisionPtr revIDLastSave="0" documentId="13_ncr:1_{08765F04-D643-4AD9-9B68-A3461FB6919D}" xr6:coauthVersionLast="47" xr6:coauthVersionMax="47" xr10:uidLastSave="{00000000-0000-0000-0000-000000000000}"/>
  <bookViews>
    <workbookView xWindow="28680" yWindow="-120" windowWidth="19440" windowHeight="14880" tabRatio="713" xr2:uid="{00000000-000D-0000-FFFF-FFFF00000000}"/>
  </bookViews>
  <sheets>
    <sheet name="Dashboard" sheetId="1" r:id="rId1"/>
    <sheet name="Project_Tracking" sheetId="2" r:id="rId2"/>
    <sheet name="project_taskdetail" sheetId="8" r:id="rId3"/>
    <sheet name="Site_Survey_Report" sheetId="3" r:id="rId4"/>
    <sheet name="Internal_Verification" sheetId="4" r:id="rId5"/>
    <sheet name="Customer_MoM" sheetId="5" r:id="rId6"/>
    <sheet name="BOM_and_Costing" sheetId="6" r:id="rId7"/>
    <sheet name="Exception_Log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8" l="1"/>
  <c r="K2" i="6"/>
  <c r="D26" i="2"/>
  <c r="G26" i="2" s="1"/>
  <c r="D25" i="2"/>
  <c r="E25" i="2" s="1"/>
  <c r="F25" i="2" s="1"/>
  <c r="D24" i="2"/>
  <c r="E24" i="2" s="1"/>
  <c r="F24" i="2" s="1"/>
  <c r="D23" i="2"/>
  <c r="G23" i="2" s="1"/>
  <c r="D22" i="2"/>
  <c r="G22" i="2" s="1"/>
  <c r="D21" i="2"/>
  <c r="E21" i="2" s="1"/>
  <c r="F21" i="2" s="1"/>
  <c r="D20" i="2"/>
  <c r="E20" i="2" s="1"/>
  <c r="F20" i="2" s="1"/>
  <c r="D19" i="2"/>
  <c r="E19" i="2" s="1"/>
  <c r="F19" i="2" s="1"/>
  <c r="D18" i="2"/>
  <c r="E18" i="2" s="1"/>
  <c r="F18" i="2" s="1"/>
  <c r="D17" i="2"/>
  <c r="E17" i="2" s="1"/>
  <c r="F17" i="2" s="1"/>
  <c r="D16" i="2"/>
  <c r="G16" i="2" s="1"/>
  <c r="D15" i="2"/>
  <c r="E15" i="2" s="1"/>
  <c r="F15" i="2" s="1"/>
  <c r="D14" i="2"/>
  <c r="G14" i="2" s="1"/>
  <c r="D13" i="2"/>
  <c r="G13" i="2" s="1"/>
  <c r="D12" i="2"/>
  <c r="E12" i="2" s="1"/>
  <c r="F12" i="2" s="1"/>
  <c r="D11" i="2"/>
  <c r="E11" i="2" s="1"/>
  <c r="F11" i="2" s="1"/>
  <c r="D10" i="2"/>
  <c r="E10" i="2" s="1"/>
  <c r="F10" i="2" s="1"/>
  <c r="D9" i="2"/>
  <c r="E9" i="2" s="1"/>
  <c r="D8" i="2"/>
  <c r="E8" i="2" s="1"/>
  <c r="F8" i="2" s="1"/>
  <c r="G7" i="2"/>
  <c r="F7" i="2"/>
  <c r="E7" i="2"/>
  <c r="B5" i="1"/>
  <c r="B4" i="1"/>
  <c r="G12" i="2" l="1"/>
  <c r="G21" i="2"/>
  <c r="G15" i="2"/>
  <c r="G24" i="2"/>
  <c r="G9" i="2"/>
  <c r="G18" i="2"/>
  <c r="F9" i="2"/>
  <c r="G10" i="2"/>
  <c r="G19" i="2"/>
  <c r="G25" i="2"/>
  <c r="G20" i="2"/>
  <c r="E16" i="2"/>
  <c r="F16" i="2" s="1"/>
  <c r="E22" i="2"/>
  <c r="F22" i="2" s="1"/>
  <c r="G8" i="2"/>
  <c r="G11" i="2"/>
  <c r="G17" i="2"/>
  <c r="E14" i="2"/>
  <c r="F14" i="2" s="1"/>
  <c r="E23" i="2"/>
  <c r="F23" i="2" s="1"/>
  <c r="E26" i="2"/>
  <c r="F26" i="2" s="1"/>
  <c r="E13" i="2"/>
  <c r="F13" i="2" s="1"/>
</calcChain>
</file>

<file path=xl/sharedStrings.xml><?xml version="1.0" encoding="utf-8"?>
<sst xmlns="http://schemas.openxmlformats.org/spreadsheetml/2006/main" count="340" uniqueCount="172">
  <si>
    <t>📌 1. EXECUTIVE SUMMARY &amp; PROJECT HEALTH (สรุปภาพรวมและสุขภาพโครงการ)</t>
  </si>
  <si>
    <t>ชื่อโครงการ:</t>
  </si>
  <si>
    <t>ความสำเร็จ (Progress):</t>
  </si>
  <si>
    <t>15% (3/20 งาน)</t>
  </si>
  <si>
    <t>ผู้จัดการ (PM):</t>
  </si>
  <si>
    <t>สถานะโครงการ (Health):</t>
  </si>
  <si>
    <t>🟢 On Track (ปกติ)</t>
  </si>
  <si>
    <t>กำหนดส่ง Proposal:</t>
  </si>
  <si>
    <t>-</t>
  </si>
  <si>
    <t>คอขวดปัจจุบัน (Blocker):</t>
  </si>
  <si>
    <t>⏳ 1. Site Survey &amp; Draft (Service Team)</t>
  </si>
  <si>
    <t>💰 2. COST &amp; PROCUREMENT INSIGHTS (ข้อมูลต้นทุนและความเสี่ยงจัดซื้อ)</t>
  </si>
  <si>
    <t>ต้นทุนรวม (Total Cost):</t>
  </si>
  <si>
    <t>ซัพพลายเออร์ที่รอนานสุด:</t>
  </si>
  <si>
    <t>มูลค่าที่งอกจากการขอแก้:</t>
  </si>
  <si>
    <t>เพิ่มขึ้น: 0</t>
  </si>
  <si>
    <t>วันลูกค้ายืนยัน BOM:</t>
  </si>
  <si>
    <t>HW</t>
  </si>
  <si>
    <t>📑 3. DOCUMENT INTELLIGENCE (ข้อมูลเชิงลึกจากเอกสารย่อยหน้างาน)</t>
  </si>
  <si>
    <t>📍 Site Survey (สำรวจหน้างาน):</t>
  </si>
  <si>
    <t>⚠️ ข้อจำกัด: แสงสว่างไม่พอ, ฝุ่นเยอะ</t>
  </si>
  <si>
    <t>📍 Verify Solution (ทดสอบระบบ):</t>
  </si>
  <si>
    <t>Approved (พบปัญหา: สัญญาณภาพดีเลย์ 2 วินาที)</t>
  </si>
  <si>
    <t>📍 Customer MoM (ประชุมลูกค้า):</t>
  </si>
  <si>
    <t>📌 Action: ทำ BOM และสรุป Lead Time</t>
  </si>
  <si>
    <t>📍 Exception Log (บันทึกขอแก้ไข):</t>
  </si>
  <si>
    <t>🔴 แจ้งแก้ 1 ข้อ (ผลกระทบ: ต้องทดสอบระยะโฟกัสใหม่)</t>
  </si>
  <si>
    <t>📋 4. THE 20-STEP TRACKING MATRIX (ตารางติดตาม 20 ขั้นตอนการดำเนินงาน)</t>
  </si>
  <si>
    <t>สัปดาห์ (Wk)</t>
  </si>
  <si>
    <t>รายละเอียดขั้นตอน (SOP)</t>
  </si>
  <si>
    <t>ผู้รับผิดชอบ</t>
  </si>
  <si>
    <t>วันเริ่มงาน</t>
  </si>
  <si>
    <t>กำหนดส่ง</t>
  </si>
  <si>
    <t>สถานะงาน</t>
  </si>
  <si>
    <t>Wk 1 - 2</t>
  </si>
  <si>
    <t>1. Site Survey &amp; Draft</t>
  </si>
  <si>
    <t>Service Team</t>
  </si>
  <si>
    <t>🟢 Done</t>
  </si>
  <si>
    <t>-9 วัน</t>
  </si>
  <si>
    <t>🟡 In Progress</t>
  </si>
  <si>
    <t>Wk 3</t>
  </si>
  <si>
    <t>2. Verify Solution</t>
  </si>
  <si>
    <t>-2 วัน</t>
  </si>
  <si>
    <t>Wk 4</t>
  </si>
  <si>
    <t>3. Presentation</t>
  </si>
  <si>
    <t>5 วัน</t>
  </si>
  <si>
    <t>PM</t>
  </si>
  <si>
    <t>Wk 5</t>
  </si>
  <si>
    <t>4. BOM List &amp; Costing</t>
  </si>
  <si>
    <t>Solution Team</t>
  </si>
  <si>
    <t>12 วัน</t>
  </si>
  <si>
    <t>🔴 Not Started</t>
  </si>
  <si>
    <t>Wk 6</t>
  </si>
  <si>
    <t>5. Executive Review</t>
  </si>
  <si>
    <t>19 วัน</t>
  </si>
  <si>
    <t>Wk 7+</t>
  </si>
  <si>
    <t>6. Post-Submission</t>
  </si>
  <si>
    <t>33 วัน</t>
  </si>
  <si>
    <t>ชื่อโครงการ</t>
  </si>
  <si>
    <t>👤 ชื่อ PM:</t>
  </si>
  <si>
    <t>PMI-เครื่องติดแสตมป์</t>
  </si>
  <si>
    <t>ออฟ / โอ๋ / อ้วน</t>
  </si>
  <si>
    <t>ขั้นตอนหลัก</t>
  </si>
  <si>
    <t>วันที่เริ่มงาน</t>
  </si>
  <si>
    <t>วันกำหนดส่ง</t>
  </si>
  <si>
    <t>วันคงเหลือ (Days)</t>
  </si>
  <si>
    <t>Check</t>
  </si>
  <si>
    <t>รายละเอียดเช็คลิสต์</t>
  </si>
  <si>
    <t>เอกสารอ้างอิง</t>
  </si>
  <si>
    <t>Pre Site Survey</t>
  </si>
  <si>
    <t>รับโจทย์ / เข้าสำรวจหน้างาน / บันทึกความต้องการลูกค้า (Requirement)</t>
  </si>
  <si>
    <t>วิเคราะห์ปัญหาหลัก (Pain Point)</t>
  </si>
  <si>
    <t>อัปเดตข้อมูลให้ทีมภายในทราบ ภายใน 1-3 วันแรก</t>
  </si>
  <si>
    <t>ทำร่างโซลูชัน (Draft Solution)</t>
  </si>
  <si>
    <t>ทดสอบอุปกรณ์เซนเซอร์และระบบรวม (Complete Solution)</t>
  </si>
  <si>
    <t>ประชุมรีวิวความถูกต้องทางเทคนิคภายใน (Internal Verification)</t>
  </si>
  <si>
    <t>ปรับปรุงแก้ไขจุดบกพร่องของโซลูชันให้สมบูรณ์ 100%</t>
  </si>
  <si>
    <t>ส่งมอบโซลูชันที่ Verify แล้วให้ทีม Sale / Present ผู้บริหาร</t>
  </si>
  <si>
    <t>นำเสนอแผนงาน/โซลูชันให้ลูกค้าฟัง</t>
  </si>
  <si>
    <t>รับ Feedback เพื่อปรับปรุง</t>
  </si>
  <si>
    <t>ลูกค้ายืนยันความเข้าใจโซลูชันว่าตรงความต้องการ</t>
  </si>
  <si>
    <t>เข้าสำรวจเครื่องจักรโดยละเอียดเพื่อทำ BOM</t>
  </si>
  <si>
    <t>ถอดแบบ BOM แยก SW/HW ให้ชัดเจน</t>
  </si>
  <si>
    <t>ลูกค้าเซ็น/อีเมลยืนยันสเปก BOM</t>
  </si>
  <si>
    <t>ประเมินราคา/นำ BOM ไปคำนวณต้นทุนและราคาขาย</t>
  </si>
  <si>
    <t>รวบรวมข้อมูลทำ Proposal</t>
  </si>
  <si>
    <t>ตรวจสอบและอนุมัติขั้นสุดท้ายโดยผู้บริหาร (Final Review)</t>
  </si>
  <si>
    <t>จัดส่ง Proposal ฉบับสมบูรณ์ให้ Sale / ลุกค้า</t>
  </si>
  <si>
    <t>ติดตามผลจากลูกค้า (Follow-up)</t>
  </si>
  <si>
    <t>อัปเดตสถานะสุดท้าย (รอ  / ชนะ / แพ้-ยกเลิก)</t>
  </si>
  <si>
    <t>วันที่สำรวจ</t>
  </si>
  <si>
    <t>ผู้สำรวจ</t>
  </si>
  <si>
    <t>แผนก/พื้นที่</t>
  </si>
  <si>
    <t>ความต้องการหลัก</t>
  </si>
  <si>
    <t>ปัญหาปัจจุบัน</t>
  </si>
  <si>
    <t>ข้อจำกัดหน้างาน</t>
  </si>
  <si>
    <t>ผลทดสอบ Sensor</t>
  </si>
  <si>
    <t>สรุปโซลูชันเบื้องต้น</t>
  </si>
  <si>
    <t>วิศวกร A</t>
  </si>
  <si>
    <t>ไลน์ผลิต 1</t>
  </si>
  <si>
    <t>ตรวจจับรอยตำหนิชิ้นงาน</t>
  </si>
  <si>
    <t>พนักงานมองพลาด 15%</t>
  </si>
  <si>
    <t>แสงสว่างไม่พอ, ฝุ่นเยอะ</t>
  </si>
  <si>
    <t>Pass</t>
  </si>
  <si>
    <t>ใช้ Vision Sensor + ไฟวงแหวน</t>
  </si>
  <si>
    <t>วันที่ตรวจสอบ</t>
  </si>
  <si>
    <t>ผู้อนุมัติ</t>
  </si>
  <si>
    <t>ระบบที่ทดสอบ</t>
  </si>
  <si>
    <t>ผลทดสอบรวม</t>
  </si>
  <si>
    <t>จุดบกพร่อง</t>
  </si>
  <si>
    <t>วิธีการแก้ไข</t>
  </si>
  <si>
    <t>สถานะการอนุมัติ</t>
  </si>
  <si>
    <t>Manager B</t>
  </si>
  <si>
    <t>Vision Sensor System</t>
  </si>
  <si>
    <t>เข้ากันได้กับ PLC เดิม</t>
  </si>
  <si>
    <t>สัญญาณภาพดีเลย์ 2 วินาที</t>
  </si>
  <si>
    <t>ปรับโค้ดและอัปเกรดสาย LAN</t>
  </si>
  <si>
    <t>Approved</t>
  </si>
  <si>
    <t>วันที่ประชุม</t>
  </si>
  <si>
    <t>ผู้เข้าร่วม</t>
  </si>
  <si>
    <t>หัวข้อ</t>
  </si>
  <si>
    <t>ข้อกังวล</t>
  </si>
  <si>
    <t>ข้อสรุป</t>
  </si>
  <si>
    <t>สิ่งที่ต้องทำต่อ</t>
  </si>
  <si>
    <t>คุณสมชาย, วิศวกร A</t>
  </si>
  <si>
    <t>นำเสนอโซลูชัน Vision</t>
  </si>
  <si>
    <t>กังวลระยะเวลาสั่งของจะช้า</t>
  </si>
  <si>
    <t>ลูกค้าตกลงใช้ตามสเปกนี้</t>
  </si>
  <si>
    <t>ทำ BOM และสรุป Lead Time</t>
  </si>
  <si>
    <t>ลำดับ</t>
  </si>
  <si>
    <t>หมวดหมู่</t>
  </si>
  <si>
    <t>ชื่ออุปกรณ์</t>
  </si>
  <si>
    <t>รุ่น/รหัส</t>
  </si>
  <si>
    <t>สเปก</t>
  </si>
  <si>
    <t>จำนวน</t>
  </si>
  <si>
    <t>หน่วย</t>
  </si>
  <si>
    <t>ตำแหน่งติดตั้ง</t>
  </si>
  <si>
    <t>วันที่ลูกค้ายืนยัน</t>
  </si>
  <si>
    <t>ต้นทุนต่อหน่วย</t>
  </si>
  <si>
    <t>ต้นทุนรวม</t>
  </si>
  <si>
    <t>ระยะเวลาสั่งของ</t>
  </si>
  <si>
    <t>ซัพพลายเออร์</t>
  </si>
  <si>
    <t>Vision Sensor Camera</t>
  </si>
  <si>
    <t>VS-2000X</t>
  </si>
  <si>
    <t>5MP</t>
  </si>
  <si>
    <t>Set</t>
  </si>
  <si>
    <t>เครื่องจักร A1</t>
  </si>
  <si>
    <t>บจก. เอบีซี</t>
  </si>
  <si>
    <t>วันที่ขอแก้ไข</t>
  </si>
  <si>
    <t>ผู้แจ้ง</t>
  </si>
  <si>
    <t>รายการที่ขอปรับ</t>
  </si>
  <si>
    <t>ผลกระทบเทคนิค</t>
  </si>
  <si>
    <t>ผลกระทบราคา</t>
  </si>
  <si>
    <t>วันยืนยัน BOM ใหม่</t>
  </si>
  <si>
    <t>กำหนดส่ง Proposal ใหม่</t>
  </si>
  <si>
    <t>คุณสมชาย</t>
  </si>
  <si>
    <t>เปลี่ยนสเปกกล้องเป็น 8MP</t>
  </si>
  <si>
    <t>ต้องทดสอบระยะโฟกัสใหม่</t>
  </si>
  <si>
    <t>ต้นทุนเพิ่ม 5,000 บาท</t>
  </si>
  <si>
    <t>Day range</t>
  </si>
  <si>
    <t>total day</t>
  </si>
  <si>
    <t>processid</t>
  </si>
  <si>
    <t>task</t>
  </si>
  <si>
    <t>process</t>
  </si>
  <si>
    <t>pm</t>
  </si>
  <si>
    <t>start</t>
  </si>
  <si>
    <t>finish</t>
  </si>
  <si>
    <t>remain</t>
  </si>
  <si>
    <t>status</t>
  </si>
  <si>
    <t>ref</t>
  </si>
  <si>
    <t>check</t>
  </si>
  <si>
    <t>📊 EXECUTIVE DASHBOARD (ระบบวิเคราะห์และติดตามสถานะโครงการ)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</si>
</sst>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฿"/>
    <numFmt numFmtId="165" formatCode="dd/mm/yyyy"/>
    <numFmt numFmtId="166" formatCode="0&quot; วัน&quot;"/>
  </numFmts>
  <fonts count="19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303030"/>
      <name val="&quot;Google Sans Code&quot;"/>
    </font>
    <font>
      <sz val="11"/>
      <color rgb="FF008000"/>
      <name val="&quot;Google Sans Code&quot;"/>
    </font>
    <font>
      <sz val="10"/>
      <color rgb="FFFF0000"/>
      <name val="Arial"/>
      <scheme val="minor"/>
    </font>
    <font>
      <sz val="10"/>
      <color rgb="FF303030"/>
      <name val="&quot;Google Sans Code&quot;"/>
    </font>
    <font>
      <sz val="11"/>
      <color rgb="FF303030"/>
      <name val="&quot;Google Sans Text&quot;"/>
    </font>
    <font>
      <sz val="11"/>
      <color rgb="FFB45F06"/>
      <name val="&quot;Google Sans Code&quot;"/>
    </font>
    <font>
      <sz val="10"/>
      <color rgb="FFB45F06"/>
      <name val="Arial"/>
      <scheme val="minor"/>
    </font>
    <font>
      <sz val="10"/>
      <color rgb="FF008000"/>
      <name val="Arial"/>
      <scheme val="minor"/>
    </font>
    <font>
      <sz val="11"/>
      <color rgb="FF000000"/>
      <name val="&quot;Google Sans Code&quot;"/>
    </font>
    <font>
      <sz val="10"/>
      <color rgb="FF000000"/>
      <name val="Arial"/>
      <scheme val="minor"/>
    </font>
    <font>
      <sz val="11"/>
      <color rgb="FFFF0000"/>
      <name val="&quot;Google Sans Code&quot;"/>
    </font>
    <font>
      <sz val="10"/>
      <color rgb="FF666666"/>
      <name val="Arial"/>
      <scheme val="minor"/>
    </font>
    <font>
      <b/>
      <sz val="11"/>
      <color rgb="FF303030"/>
      <name val="&quot;Google Sans Text&quot;"/>
    </font>
    <font>
      <i/>
      <sz val="10"/>
      <color theme="1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DDE1EB"/>
      </bottom>
      <diagonal/>
    </border>
    <border>
      <left/>
      <right/>
      <top/>
      <bottom style="thin">
        <color rgb="FF9191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DDE1EB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DDE1EB"/>
      </bottom>
      <diagonal/>
    </border>
    <border>
      <left style="thin">
        <color indexed="64"/>
      </left>
      <right/>
      <top style="thin">
        <color indexed="64"/>
      </top>
      <bottom style="thin">
        <color rgb="FFDDE1EB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3" fillId="0" borderId="0" xfId="0" applyFont="1"/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4" borderId="0" xfId="0" applyFont="1" applyFill="1"/>
    <xf numFmtId="0" fontId="3" fillId="0" borderId="3" xfId="0" applyFont="1" applyBorder="1" applyAlignment="1">
      <alignment vertical="center"/>
    </xf>
    <xf numFmtId="0" fontId="5" fillId="4" borderId="0" xfId="0" applyFont="1" applyFill="1" applyAlignment="1"/>
    <xf numFmtId="0" fontId="3" fillId="0" borderId="3" xfId="0" applyFont="1" applyBorder="1" applyAlignment="1">
      <alignment vertical="center"/>
    </xf>
    <xf numFmtId="0" fontId="5" fillId="4" borderId="0" xfId="0" applyFont="1" applyFill="1"/>
    <xf numFmtId="0" fontId="3" fillId="0" borderId="3" xfId="0" applyFont="1" applyBorder="1" applyAlignment="1">
      <alignment vertical="center"/>
    </xf>
    <xf numFmtId="0" fontId="6" fillId="4" borderId="0" xfId="0" applyFont="1" applyFill="1" applyAlignment="1"/>
    <xf numFmtId="0" fontId="7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5" fillId="4" borderId="0" xfId="0" applyNumberFormat="1" applyFont="1" applyFill="1" applyAlignment="1"/>
    <xf numFmtId="164" fontId="3" fillId="0" borderId="3" xfId="0" applyNumberFormat="1" applyFont="1" applyBorder="1" applyAlignment="1">
      <alignment vertical="center"/>
    </xf>
    <xf numFmtId="164" fontId="8" fillId="0" borderId="0" xfId="0" applyNumberFormat="1" applyFont="1" applyAlignment="1"/>
    <xf numFmtId="164" fontId="8" fillId="0" borderId="0" xfId="0" applyNumberFormat="1" applyFont="1"/>
    <xf numFmtId="0" fontId="8" fillId="0" borderId="0" xfId="0" applyFont="1" applyAlignment="1"/>
    <xf numFmtId="0" fontId="8" fillId="0" borderId="0" xfId="0" applyFont="1"/>
    <xf numFmtId="0" fontId="9" fillId="6" borderId="0" xfId="0" applyFont="1" applyFill="1"/>
    <xf numFmtId="0" fontId="10" fillId="4" borderId="0" xfId="0" applyFont="1" applyFill="1" applyAlignment="1"/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3" fillId="4" borderId="0" xfId="0" applyFont="1" applyFill="1" applyAlignment="1"/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5" fillId="4" borderId="0" xfId="0" applyFont="1" applyFill="1" applyAlignment="1"/>
    <xf numFmtId="0" fontId="7" fillId="0" borderId="2" xfId="0" applyFont="1" applyBorder="1" applyAlignment="1">
      <alignment vertical="center"/>
    </xf>
    <xf numFmtId="0" fontId="3" fillId="0" borderId="4" xfId="0" applyFont="1" applyBorder="1"/>
    <xf numFmtId="0" fontId="4" fillId="9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165" fontId="5" fillId="4" borderId="0" xfId="0" applyNumberFormat="1" applyFont="1" applyFill="1" applyAlignment="1">
      <alignment horizontal="center"/>
    </xf>
    <xf numFmtId="165" fontId="3" fillId="0" borderId="0" xfId="0" applyNumberFormat="1" applyFont="1"/>
    <xf numFmtId="0" fontId="4" fillId="0" borderId="0" xfId="0" applyFont="1" applyAlignment="1"/>
    <xf numFmtId="0" fontId="3" fillId="5" borderId="0" xfId="0" applyFont="1" applyFill="1" applyAlignment="1"/>
    <xf numFmtId="0" fontId="1" fillId="10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6" borderId="0" xfId="0" applyFont="1" applyFill="1" applyAlignment="1">
      <alignment vertical="top"/>
    </xf>
    <xf numFmtId="0" fontId="3" fillId="0" borderId="4" xfId="0" applyFont="1" applyBorder="1" applyAlignment="1"/>
    <xf numFmtId="165" fontId="4" fillId="11" borderId="4" xfId="0" applyNumberFormat="1" applyFont="1" applyFill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6" fontId="5" fillId="4" borderId="0" xfId="0" applyNumberFormat="1" applyFont="1" applyFill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9" fillId="6" borderId="5" xfId="0" applyFont="1" applyFill="1" applyBorder="1" applyAlignment="1">
      <alignment vertical="top"/>
    </xf>
    <xf numFmtId="165" fontId="16" fillId="9" borderId="4" xfId="0" applyNumberFormat="1" applyFont="1" applyFill="1" applyBorder="1" applyAlignment="1">
      <alignment horizontal="center"/>
    </xf>
    <xf numFmtId="0" fontId="3" fillId="0" borderId="0" xfId="0" applyFont="1" applyAlignment="1"/>
    <xf numFmtId="0" fontId="17" fillId="6" borderId="6" xfId="0" applyFont="1" applyFill="1" applyBorder="1" applyAlignment="1">
      <alignment vertical="top"/>
    </xf>
    <xf numFmtId="0" fontId="4" fillId="12" borderId="0" xfId="0" applyFont="1" applyFill="1" applyAlignment="1"/>
    <xf numFmtId="165" fontId="18" fillId="5" borderId="0" xfId="0" applyNumberFormat="1" applyFont="1" applyFill="1" applyAlignment="1"/>
    <xf numFmtId="0" fontId="18" fillId="5" borderId="0" xfId="0" applyFont="1" applyFill="1" applyAlignment="1"/>
    <xf numFmtId="0" fontId="4" fillId="3" borderId="0" xfId="0" applyFont="1" applyFill="1" applyAlignment="1"/>
    <xf numFmtId="0" fontId="4" fillId="13" borderId="0" xfId="0" applyFont="1" applyFill="1" applyAlignment="1"/>
    <xf numFmtId="0" fontId="4" fillId="7" borderId="0" xfId="0" applyFont="1" applyFill="1" applyAlignment="1"/>
    <xf numFmtId="0" fontId="18" fillId="5" borderId="0" xfId="0" applyFont="1" applyFill="1" applyAlignment="1"/>
    <xf numFmtId="0" fontId="4" fillId="14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9" fillId="6" borderId="8" xfId="0" applyFont="1" applyFill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9" fillId="6" borderId="11" xfId="0" applyFont="1" applyFill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0" fontId="9" fillId="6" borderId="16" xfId="0" applyFont="1" applyFill="1" applyBorder="1" applyAlignment="1">
      <alignment horizontal="left" vertical="center"/>
    </xf>
    <xf numFmtId="0" fontId="9" fillId="6" borderId="10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3" xfId="0" applyFont="1" applyBorder="1"/>
    <xf numFmtId="0" fontId="4" fillId="8" borderId="1" xfId="0" applyFont="1" applyFill="1" applyBorder="1" applyAlignment="1"/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9" fillId="6" borderId="7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B45F06"/>
      </font>
      <fill>
        <patternFill patternType="solid">
          <fgColor rgb="FFFFF2CC"/>
          <bgColor rgb="FFFFF2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outlinePr summaryBelow="0" summaryRight="0"/>
  </sheetPr>
  <dimension ref="A1:G41"/>
  <sheetViews>
    <sheetView tabSelected="1" zoomScale="115" zoomScaleNormal="115" workbookViewId="0">
      <selection activeCell="A18" sqref="A18:F18"/>
    </sheetView>
  </sheetViews>
  <sheetFormatPr defaultColWidth="12.6640625" defaultRowHeight="15.75" customHeight="1"/>
  <cols>
    <col min="1" max="1" width="22.6640625" customWidth="1"/>
    <col min="2" max="2" width="57.6640625" customWidth="1"/>
    <col min="3" max="3" width="18.88671875" customWidth="1"/>
    <col min="4" max="4" width="22.6640625" customWidth="1"/>
    <col min="5" max="5" width="15.33203125" customWidth="1"/>
    <col min="6" max="6" width="16.77734375" customWidth="1"/>
    <col min="7" max="7" width="15.109375" customWidth="1"/>
  </cols>
  <sheetData>
    <row r="1" spans="1:7">
      <c r="A1" s="80" t="s">
        <v>171</v>
      </c>
      <c r="B1" s="79"/>
      <c r="C1" s="79"/>
      <c r="D1" s="79"/>
      <c r="E1" s="79"/>
      <c r="F1" s="77"/>
      <c r="G1" s="1"/>
    </row>
    <row r="2" spans="1:7">
      <c r="A2" s="2"/>
      <c r="B2" s="2"/>
      <c r="C2" s="2"/>
      <c r="D2" s="2"/>
      <c r="E2" s="2"/>
      <c r="F2" s="2"/>
    </row>
    <row r="3" spans="1:7">
      <c r="A3" s="81" t="s">
        <v>0</v>
      </c>
      <c r="B3" s="79"/>
      <c r="C3" s="79"/>
      <c r="D3" s="79"/>
      <c r="E3" s="79"/>
      <c r="F3" s="77"/>
      <c r="G3" s="1"/>
    </row>
    <row r="4" spans="1:7">
      <c r="A4" s="3" t="s">
        <v>1</v>
      </c>
      <c r="B4" s="4" t="str">
        <f>Project_Tracking!A2</f>
        <v>PMI-เครื่องติดแสตมป์</v>
      </c>
      <c r="C4" s="5"/>
      <c r="D4" s="3" t="s">
        <v>2</v>
      </c>
      <c r="E4" s="6" t="s">
        <v>3</v>
      </c>
      <c r="F4" s="7"/>
    </row>
    <row r="5" spans="1:7">
      <c r="A5" s="3" t="s">
        <v>4</v>
      </c>
      <c r="B5" s="8" t="str">
        <f>Project_Tracking!B2</f>
        <v>ออฟ / โอ๋ / อ้วน</v>
      </c>
      <c r="C5" s="9"/>
      <c r="D5" s="3" t="s">
        <v>5</v>
      </c>
      <c r="E5" s="10" t="s">
        <v>6</v>
      </c>
      <c r="F5" s="11"/>
      <c r="G5" s="1"/>
    </row>
    <row r="6" spans="1:7">
      <c r="A6" s="3" t="s">
        <v>7</v>
      </c>
      <c r="B6" s="6" t="s">
        <v>8</v>
      </c>
      <c r="C6" s="7"/>
      <c r="D6" s="3" t="s">
        <v>9</v>
      </c>
      <c r="E6" s="6" t="s">
        <v>10</v>
      </c>
      <c r="F6" s="7"/>
    </row>
    <row r="7" spans="1:7">
      <c r="A7" s="12"/>
      <c r="B7" s="12"/>
      <c r="C7" s="2"/>
      <c r="D7" s="12"/>
      <c r="E7" s="12"/>
      <c r="F7" s="2"/>
    </row>
    <row r="8" spans="1:7">
      <c r="A8" s="82" t="s">
        <v>11</v>
      </c>
      <c r="B8" s="79"/>
      <c r="C8" s="79"/>
      <c r="D8" s="79"/>
      <c r="E8" s="79"/>
      <c r="F8" s="77"/>
      <c r="G8" s="1"/>
    </row>
    <row r="9" spans="1:7">
      <c r="A9" s="3" t="s">
        <v>12</v>
      </c>
      <c r="B9" s="13">
        <v>0</v>
      </c>
      <c r="C9" s="14"/>
      <c r="D9" s="3" t="s">
        <v>13</v>
      </c>
      <c r="E9" s="6" t="s">
        <v>8</v>
      </c>
      <c r="F9" s="7"/>
    </row>
    <row r="10" spans="1:7">
      <c r="A10" s="3" t="s">
        <v>14</v>
      </c>
      <c r="B10" s="15" t="s">
        <v>15</v>
      </c>
      <c r="C10" s="16"/>
      <c r="D10" s="3" t="s">
        <v>16</v>
      </c>
      <c r="E10" s="17" t="s">
        <v>17</v>
      </c>
      <c r="F10" s="7"/>
      <c r="G10" s="1"/>
    </row>
    <row r="11" spans="1:7">
      <c r="A11" s="12"/>
      <c r="B11" s="18"/>
      <c r="C11" s="12"/>
      <c r="D11" s="12"/>
      <c r="E11" s="19"/>
      <c r="F11" s="12"/>
      <c r="G11" s="1"/>
    </row>
    <row r="12" spans="1:7">
      <c r="A12" s="83" t="s">
        <v>18</v>
      </c>
      <c r="B12" s="79"/>
      <c r="C12" s="79"/>
      <c r="D12" s="79"/>
      <c r="E12" s="79"/>
      <c r="F12" s="77"/>
      <c r="G12" s="1"/>
    </row>
    <row r="13" spans="1:7">
      <c r="A13" s="76" t="s">
        <v>19</v>
      </c>
      <c r="B13" s="77"/>
      <c r="C13" s="20" t="s">
        <v>20</v>
      </c>
      <c r="D13" s="21"/>
      <c r="E13" s="21"/>
      <c r="F13" s="22"/>
      <c r="G13" s="1"/>
    </row>
    <row r="14" spans="1:7">
      <c r="A14" s="76" t="s">
        <v>21</v>
      </c>
      <c r="B14" s="77"/>
      <c r="C14" s="10" t="s">
        <v>22</v>
      </c>
      <c r="D14" s="23"/>
      <c r="E14" s="23"/>
      <c r="F14" s="24"/>
      <c r="G14" s="1"/>
    </row>
    <row r="15" spans="1:7">
      <c r="A15" s="76" t="s">
        <v>23</v>
      </c>
      <c r="B15" s="77"/>
      <c r="C15" s="25" t="s">
        <v>24</v>
      </c>
      <c r="D15" s="26"/>
      <c r="E15" s="26"/>
      <c r="F15" s="27"/>
      <c r="G15" s="1"/>
    </row>
    <row r="16" spans="1:7">
      <c r="A16" s="76" t="s">
        <v>25</v>
      </c>
      <c r="B16" s="77"/>
      <c r="C16" s="28" t="s">
        <v>26</v>
      </c>
      <c r="D16" s="29"/>
      <c r="E16" s="29"/>
      <c r="F16" s="11"/>
      <c r="G16" s="1"/>
    </row>
    <row r="17" spans="1:7">
      <c r="A17" s="30"/>
      <c r="B17" s="30"/>
      <c r="C17" s="30"/>
      <c r="D17" s="30"/>
      <c r="E17" s="30"/>
      <c r="F17" s="30"/>
      <c r="G17" s="1"/>
    </row>
    <row r="18" spans="1:7">
      <c r="A18" s="78" t="s">
        <v>27</v>
      </c>
      <c r="B18" s="79"/>
      <c r="C18" s="79"/>
      <c r="D18" s="79"/>
      <c r="E18" s="79"/>
      <c r="F18" s="77"/>
      <c r="G18" s="1"/>
    </row>
    <row r="19" spans="1:7">
      <c r="A19" s="31" t="s">
        <v>28</v>
      </c>
      <c r="B19" s="31" t="s">
        <v>29</v>
      </c>
      <c r="C19" s="31" t="s">
        <v>30</v>
      </c>
      <c r="D19" s="31" t="s">
        <v>31</v>
      </c>
      <c r="E19" s="31" t="s">
        <v>32</v>
      </c>
      <c r="F19" s="31" t="s">
        <v>33</v>
      </c>
      <c r="G19" s="1"/>
    </row>
    <row r="20" spans="1:7">
      <c r="A20" s="32" t="s">
        <v>34</v>
      </c>
      <c r="B20" s="33" t="s">
        <v>35</v>
      </c>
      <c r="C20" s="33" t="s">
        <v>36</v>
      </c>
      <c r="D20" s="34">
        <v>46175</v>
      </c>
      <c r="E20" s="34" t="s">
        <v>8</v>
      </c>
      <c r="F20" s="32" t="s">
        <v>37</v>
      </c>
      <c r="G20" s="1"/>
    </row>
    <row r="21" spans="1:7">
      <c r="A21" s="32" t="s">
        <v>34</v>
      </c>
      <c r="B21" s="33" t="s">
        <v>35</v>
      </c>
      <c r="C21" s="33" t="s">
        <v>36</v>
      </c>
      <c r="D21" s="34">
        <v>46175</v>
      </c>
      <c r="E21" s="34" t="s">
        <v>8</v>
      </c>
      <c r="F21" s="32" t="s">
        <v>37</v>
      </c>
      <c r="G21" s="1"/>
    </row>
    <row r="22" spans="1:7">
      <c r="A22" s="32" t="s">
        <v>34</v>
      </c>
      <c r="B22" s="33" t="s">
        <v>35</v>
      </c>
      <c r="C22" s="33" t="s">
        <v>36</v>
      </c>
      <c r="D22" s="34">
        <v>46165</v>
      </c>
      <c r="E22" s="34" t="s">
        <v>8</v>
      </c>
      <c r="F22" s="32" t="s">
        <v>37</v>
      </c>
      <c r="G22" s="1"/>
    </row>
    <row r="23" spans="1:7">
      <c r="A23" s="32" t="s">
        <v>34</v>
      </c>
      <c r="B23" s="33" t="s">
        <v>35</v>
      </c>
      <c r="C23" s="33" t="s">
        <v>36</v>
      </c>
      <c r="D23" s="34">
        <v>46175</v>
      </c>
      <c r="E23" s="34" t="s">
        <v>38</v>
      </c>
      <c r="F23" s="32" t="s">
        <v>39</v>
      </c>
      <c r="G23" s="1"/>
    </row>
    <row r="24" spans="1:7">
      <c r="A24" s="32" t="s">
        <v>34</v>
      </c>
      <c r="B24" s="33" t="s">
        <v>35</v>
      </c>
      <c r="C24" s="33" t="s">
        <v>36</v>
      </c>
      <c r="D24" s="34">
        <v>46175</v>
      </c>
      <c r="E24" s="34" t="s">
        <v>38</v>
      </c>
      <c r="F24" s="32" t="s">
        <v>39</v>
      </c>
      <c r="G24" s="35"/>
    </row>
    <row r="25" spans="1:7">
      <c r="A25" s="32" t="s">
        <v>40</v>
      </c>
      <c r="B25" s="33" t="s">
        <v>41</v>
      </c>
      <c r="C25" s="33" t="s">
        <v>36</v>
      </c>
      <c r="D25" s="34">
        <v>46182</v>
      </c>
      <c r="E25" s="34" t="s">
        <v>42</v>
      </c>
      <c r="F25" s="32" t="s">
        <v>39</v>
      </c>
      <c r="G25" s="35"/>
    </row>
    <row r="26" spans="1:7">
      <c r="A26" s="32" t="s">
        <v>40</v>
      </c>
      <c r="B26" s="33" t="s">
        <v>41</v>
      </c>
      <c r="C26" s="33" t="s">
        <v>36</v>
      </c>
      <c r="D26" s="34">
        <v>46182</v>
      </c>
      <c r="E26" s="34" t="s">
        <v>42</v>
      </c>
      <c r="F26" s="32" t="s">
        <v>39</v>
      </c>
    </row>
    <row r="27" spans="1:7">
      <c r="A27" s="32" t="s">
        <v>43</v>
      </c>
      <c r="B27" s="33" t="s">
        <v>44</v>
      </c>
      <c r="C27" s="33" t="s">
        <v>36</v>
      </c>
      <c r="D27" s="34">
        <v>46189</v>
      </c>
      <c r="E27" s="34" t="s">
        <v>45</v>
      </c>
      <c r="F27" s="32" t="s">
        <v>39</v>
      </c>
      <c r="G27" s="1"/>
    </row>
    <row r="28" spans="1:7">
      <c r="A28" s="32" t="s">
        <v>43</v>
      </c>
      <c r="B28" s="33" t="s">
        <v>44</v>
      </c>
      <c r="C28" s="33" t="s">
        <v>46</v>
      </c>
      <c r="D28" s="34">
        <v>46189</v>
      </c>
      <c r="E28" s="34" t="s">
        <v>45</v>
      </c>
      <c r="F28" s="32" t="s">
        <v>39</v>
      </c>
      <c r="G28" s="1"/>
    </row>
    <row r="29" spans="1:7">
      <c r="A29" s="32" t="s">
        <v>43</v>
      </c>
      <c r="B29" s="33" t="s">
        <v>44</v>
      </c>
      <c r="C29" s="33" t="s">
        <v>46</v>
      </c>
      <c r="D29" s="34">
        <v>46189</v>
      </c>
      <c r="E29" s="34" t="s">
        <v>45</v>
      </c>
      <c r="F29" s="32" t="s">
        <v>39</v>
      </c>
      <c r="G29" s="1"/>
    </row>
    <row r="30" spans="1:7">
      <c r="A30" s="32" t="s">
        <v>43</v>
      </c>
      <c r="B30" s="33" t="s">
        <v>44</v>
      </c>
      <c r="C30" s="33" t="s">
        <v>46</v>
      </c>
      <c r="D30" s="34">
        <v>46189</v>
      </c>
      <c r="E30" s="34" t="s">
        <v>45</v>
      </c>
      <c r="F30" s="32" t="s">
        <v>39</v>
      </c>
      <c r="G30" s="1"/>
    </row>
    <row r="31" spans="1:7">
      <c r="A31" s="32" t="s">
        <v>47</v>
      </c>
      <c r="B31" s="33" t="s">
        <v>48</v>
      </c>
      <c r="C31" s="33" t="s">
        <v>49</v>
      </c>
      <c r="D31" s="34">
        <v>46196</v>
      </c>
      <c r="E31" s="34" t="s">
        <v>50</v>
      </c>
      <c r="F31" s="32" t="s">
        <v>51</v>
      </c>
      <c r="G31" s="1"/>
    </row>
    <row r="32" spans="1:7">
      <c r="A32" s="32" t="s">
        <v>47</v>
      </c>
      <c r="B32" s="33" t="s">
        <v>48</v>
      </c>
      <c r="C32" s="33" t="s">
        <v>49</v>
      </c>
      <c r="D32" s="34">
        <v>46196</v>
      </c>
      <c r="E32" s="34" t="s">
        <v>50</v>
      </c>
      <c r="F32" s="32" t="s">
        <v>51</v>
      </c>
    </row>
    <row r="33" spans="1:6">
      <c r="A33" s="32" t="s">
        <v>47</v>
      </c>
      <c r="B33" s="33" t="s">
        <v>48</v>
      </c>
      <c r="C33" s="33" t="s">
        <v>46</v>
      </c>
      <c r="D33" s="34">
        <v>46196</v>
      </c>
      <c r="E33" s="34" t="s">
        <v>50</v>
      </c>
      <c r="F33" s="32" t="s">
        <v>51</v>
      </c>
    </row>
    <row r="34" spans="1:6">
      <c r="A34" s="32" t="s">
        <v>47</v>
      </c>
      <c r="B34" s="33" t="s">
        <v>48</v>
      </c>
      <c r="C34" s="33" t="s">
        <v>46</v>
      </c>
      <c r="D34" s="34">
        <v>46196</v>
      </c>
      <c r="E34" s="34" t="s">
        <v>50</v>
      </c>
      <c r="F34" s="32" t="s">
        <v>51</v>
      </c>
    </row>
    <row r="35" spans="1:6">
      <c r="A35" s="32" t="s">
        <v>52</v>
      </c>
      <c r="B35" s="33" t="s">
        <v>53</v>
      </c>
      <c r="C35" s="33" t="s">
        <v>46</v>
      </c>
      <c r="D35" s="34">
        <v>46203</v>
      </c>
      <c r="E35" s="34" t="s">
        <v>54</v>
      </c>
      <c r="F35" s="32" t="s">
        <v>51</v>
      </c>
    </row>
    <row r="36" spans="1:6">
      <c r="A36" s="32" t="s">
        <v>52</v>
      </c>
      <c r="B36" s="33" t="s">
        <v>53</v>
      </c>
      <c r="C36" s="33" t="s">
        <v>46</v>
      </c>
      <c r="D36" s="34">
        <v>46203</v>
      </c>
      <c r="E36" s="34" t="s">
        <v>54</v>
      </c>
      <c r="F36" s="32" t="s">
        <v>51</v>
      </c>
    </row>
    <row r="37" spans="1:6">
      <c r="A37" s="32" t="s">
        <v>52</v>
      </c>
      <c r="B37" s="33" t="s">
        <v>53</v>
      </c>
      <c r="C37" s="33" t="s">
        <v>46</v>
      </c>
      <c r="D37" s="34">
        <v>46203</v>
      </c>
      <c r="E37" s="34" t="s">
        <v>54</v>
      </c>
      <c r="F37" s="32" t="s">
        <v>51</v>
      </c>
    </row>
    <row r="38" spans="1:6">
      <c r="A38" s="32" t="s">
        <v>55</v>
      </c>
      <c r="B38" s="33" t="s">
        <v>56</v>
      </c>
      <c r="C38" s="33" t="s">
        <v>46</v>
      </c>
      <c r="D38" s="34">
        <v>46217</v>
      </c>
      <c r="E38" s="34" t="s">
        <v>57</v>
      </c>
      <c r="F38" s="32" t="s">
        <v>51</v>
      </c>
    </row>
    <row r="39" spans="1:6">
      <c r="A39" s="32" t="s">
        <v>55</v>
      </c>
      <c r="B39" s="33" t="s">
        <v>56</v>
      </c>
      <c r="C39" s="33" t="s">
        <v>46</v>
      </c>
      <c r="D39" s="34">
        <v>46217</v>
      </c>
      <c r="E39" s="34" t="s">
        <v>57</v>
      </c>
      <c r="F39" s="32" t="s">
        <v>51</v>
      </c>
    </row>
    <row r="40" spans="1:6">
      <c r="A40" s="1"/>
      <c r="B40" s="1"/>
      <c r="C40" s="1"/>
      <c r="D40" s="35"/>
      <c r="E40" s="1"/>
    </row>
    <row r="41" spans="1:6">
      <c r="A41" s="1"/>
      <c r="B41" s="1"/>
      <c r="C41" s="1"/>
      <c r="D41" s="35"/>
      <c r="E41" s="1"/>
    </row>
  </sheetData>
  <mergeCells count="9">
    <mergeCell ref="A16:B16"/>
    <mergeCell ref="A18:F18"/>
    <mergeCell ref="A1:F1"/>
    <mergeCell ref="A3:F3"/>
    <mergeCell ref="A8:F8"/>
    <mergeCell ref="A12:F12"/>
    <mergeCell ref="A13:B13"/>
    <mergeCell ref="A14:B14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4"/>
  <sheetViews>
    <sheetView workbookViewId="0">
      <selection activeCell="B29" sqref="B29"/>
    </sheetView>
  </sheetViews>
  <sheetFormatPr defaultColWidth="12.6640625" defaultRowHeight="15.75" customHeight="1"/>
  <cols>
    <col min="1" max="1" width="22.21875" customWidth="1"/>
    <col min="2" max="2" width="23.6640625" customWidth="1"/>
    <col min="3" max="3" width="17.6640625" customWidth="1"/>
    <col min="4" max="5" width="13.88671875" customWidth="1"/>
    <col min="6" max="6" width="20.44140625" customWidth="1"/>
    <col min="7" max="7" width="12.6640625" customWidth="1"/>
    <col min="8" max="8" width="7.6640625" customWidth="1"/>
    <col min="9" max="9" width="56.33203125" customWidth="1"/>
  </cols>
  <sheetData>
    <row r="1" spans="1:10" ht="13.2">
      <c r="A1" s="3" t="s">
        <v>58</v>
      </c>
      <c r="B1" s="36" t="s">
        <v>59</v>
      </c>
    </row>
    <row r="2" spans="1:10" ht="13.2">
      <c r="A2" s="37" t="s">
        <v>60</v>
      </c>
      <c r="B2" s="37" t="s">
        <v>61</v>
      </c>
    </row>
    <row r="4" spans="1:10" ht="15.75" customHeight="1">
      <c r="B4" t="s">
        <v>163</v>
      </c>
      <c r="C4" t="s">
        <v>164</v>
      </c>
      <c r="D4" t="s">
        <v>165</v>
      </c>
      <c r="E4" t="s">
        <v>166</v>
      </c>
      <c r="F4" t="s">
        <v>167</v>
      </c>
      <c r="G4" t="s">
        <v>168</v>
      </c>
      <c r="H4" t="s">
        <v>170</v>
      </c>
      <c r="I4" t="s">
        <v>162</v>
      </c>
      <c r="J4" t="s">
        <v>169</v>
      </c>
    </row>
    <row r="5" spans="1:10" ht="13.2">
      <c r="A5" s="38" t="s">
        <v>28</v>
      </c>
      <c r="B5" s="38" t="s">
        <v>62</v>
      </c>
      <c r="C5" s="38" t="s">
        <v>30</v>
      </c>
      <c r="D5" s="38" t="s">
        <v>63</v>
      </c>
      <c r="E5" s="38" t="s">
        <v>64</v>
      </c>
      <c r="F5" s="38" t="s">
        <v>65</v>
      </c>
      <c r="G5" s="38" t="s">
        <v>33</v>
      </c>
      <c r="H5" s="38" t="s">
        <v>66</v>
      </c>
      <c r="I5" s="38" t="s">
        <v>67</v>
      </c>
      <c r="J5" s="38" t="s">
        <v>68</v>
      </c>
    </row>
    <row r="6" spans="1:10" ht="13.8">
      <c r="A6" s="39"/>
      <c r="B6" s="40" t="s">
        <v>69</v>
      </c>
      <c r="C6" s="41"/>
      <c r="D6" s="42"/>
      <c r="E6" s="43"/>
      <c r="F6" s="44"/>
      <c r="G6" s="45" t="b">
        <v>0</v>
      </c>
      <c r="H6" s="39" t="b">
        <v>0</v>
      </c>
      <c r="I6" s="40"/>
      <c r="J6" s="46"/>
    </row>
    <row r="7" spans="1:10" ht="13.8">
      <c r="A7" s="39" t="s">
        <v>34</v>
      </c>
      <c r="B7" s="47" t="s">
        <v>35</v>
      </c>
      <c r="C7" s="41" t="s">
        <v>36</v>
      </c>
      <c r="D7" s="42">
        <v>46180</v>
      </c>
      <c r="E7" s="43">
        <f t="shared" ref="E7:E26" si="0">IF(D7="","", IF(ISNUMBER(SEARCH("3 วัน", I7)), D7+3, IF(A7="Wk 1 - 2", D7+13, IF(A7="Wk 3", D7+6, IF(A7="Wk 4", D7+6, IF(A7="Wk 5", D7+6, IF(A7="Wk 6", D7+6, IF(A7="Wk 7+", D7+13, ""))))))))</f>
        <v>46193</v>
      </c>
      <c r="F7" s="44" t="str">
        <f t="shared" ref="F7:F26" ca="1" si="1">IF(H7=TRUE, "-", IF(E7="","", _xludf.DAYS(E7, TODAY()) &amp; " วัน"))</f>
        <v>-</v>
      </c>
      <c r="G7" s="45" t="str">
        <f t="shared" ref="G7:G26" ca="1" si="2">IF(H7=TRUE, "Done", IF(D7="","", IF(D7&lt;=TODAY(), "In Progress", "Not Started")))</f>
        <v>Done</v>
      </c>
      <c r="H7" s="39" t="b">
        <v>1</v>
      </c>
      <c r="I7" s="47" t="s">
        <v>70</v>
      </c>
      <c r="J7" s="46"/>
    </row>
    <row r="8" spans="1:10" ht="13.8">
      <c r="A8" s="39" t="s">
        <v>34</v>
      </c>
      <c r="B8" s="47" t="s">
        <v>35</v>
      </c>
      <c r="C8" s="41" t="s">
        <v>36</v>
      </c>
      <c r="D8" s="48">
        <f t="shared" ref="D8:D26" si="3">IF($D$7="","", $D$7 + IF(A8="Wk 1 - 2", 0, IF(A8="Wk 3", 14, IF(A8="Wk 4", 21, IF(A8="Wk 5", 28, IF(A8="Wk 6", 35, IF(A8="Wk 7+", 42, 0)))))))</f>
        <v>46180</v>
      </c>
      <c r="E8" s="43">
        <f t="shared" si="0"/>
        <v>46193</v>
      </c>
      <c r="F8" s="44" t="e">
        <f t="shared" ca="1" si="1"/>
        <v>#NAME?</v>
      </c>
      <c r="G8" s="45" t="str">
        <f t="shared" ca="1" si="2"/>
        <v>In Progress</v>
      </c>
      <c r="H8" s="39" t="b">
        <v>0</v>
      </c>
      <c r="I8" s="47" t="s">
        <v>71</v>
      </c>
      <c r="J8" s="46"/>
    </row>
    <row r="9" spans="1:10" ht="13.8">
      <c r="A9" s="39" t="s">
        <v>34</v>
      </c>
      <c r="B9" s="47" t="s">
        <v>35</v>
      </c>
      <c r="C9" s="41" t="s">
        <v>36</v>
      </c>
      <c r="D9" s="48">
        <f t="shared" si="3"/>
        <v>46180</v>
      </c>
      <c r="E9" s="43">
        <f t="shared" si="0"/>
        <v>46183</v>
      </c>
      <c r="F9" s="44" t="e">
        <f t="shared" ca="1" si="1"/>
        <v>#NAME?</v>
      </c>
      <c r="G9" s="45" t="str">
        <f t="shared" ca="1" si="2"/>
        <v>In Progress</v>
      </c>
      <c r="H9" s="39" t="b">
        <v>0</v>
      </c>
      <c r="I9" s="47" t="s">
        <v>72</v>
      </c>
      <c r="J9" s="46"/>
    </row>
    <row r="10" spans="1:10" ht="13.8">
      <c r="A10" s="39" t="s">
        <v>34</v>
      </c>
      <c r="B10" s="47" t="s">
        <v>35</v>
      </c>
      <c r="C10" s="41" t="s">
        <v>36</v>
      </c>
      <c r="D10" s="48">
        <f t="shared" si="3"/>
        <v>46180</v>
      </c>
      <c r="E10" s="43">
        <f t="shared" si="0"/>
        <v>46193</v>
      </c>
      <c r="F10" s="44" t="e">
        <f t="shared" ca="1" si="1"/>
        <v>#NAME?</v>
      </c>
      <c r="G10" s="45" t="str">
        <f t="shared" ca="1" si="2"/>
        <v>In Progress</v>
      </c>
      <c r="H10" s="39" t="b">
        <v>0</v>
      </c>
      <c r="I10" s="47" t="s">
        <v>73</v>
      </c>
      <c r="J10" s="46"/>
    </row>
    <row r="11" spans="1:10" ht="13.8">
      <c r="A11" s="39" t="s">
        <v>34</v>
      </c>
      <c r="B11" s="47" t="s">
        <v>35</v>
      </c>
      <c r="C11" s="41" t="s">
        <v>36</v>
      </c>
      <c r="D11" s="48">
        <f t="shared" si="3"/>
        <v>46180</v>
      </c>
      <c r="E11" s="43">
        <f t="shared" si="0"/>
        <v>46193</v>
      </c>
      <c r="F11" s="44" t="e">
        <f t="shared" ca="1" si="1"/>
        <v>#NAME?</v>
      </c>
      <c r="G11" s="45" t="str">
        <f t="shared" ca="1" si="2"/>
        <v>In Progress</v>
      </c>
      <c r="H11" s="39" t="b">
        <v>0</v>
      </c>
      <c r="I11" s="47" t="s">
        <v>74</v>
      </c>
      <c r="J11" s="46"/>
    </row>
    <row r="12" spans="1:10" ht="13.8">
      <c r="A12" s="39" t="s">
        <v>40</v>
      </c>
      <c r="B12" s="47" t="s">
        <v>41</v>
      </c>
      <c r="C12" s="41" t="s">
        <v>36</v>
      </c>
      <c r="D12" s="48">
        <f t="shared" si="3"/>
        <v>46194</v>
      </c>
      <c r="E12" s="43">
        <f t="shared" si="0"/>
        <v>46200</v>
      </c>
      <c r="F12" s="44" t="e">
        <f t="shared" ca="1" si="1"/>
        <v>#NAME?</v>
      </c>
      <c r="G12" s="45" t="str">
        <f t="shared" ca="1" si="2"/>
        <v>Not Started</v>
      </c>
      <c r="H12" s="39" t="b">
        <v>0</v>
      </c>
      <c r="I12" s="47" t="s">
        <v>75</v>
      </c>
      <c r="J12" s="46"/>
    </row>
    <row r="13" spans="1:10" ht="13.8">
      <c r="A13" s="39" t="s">
        <v>40</v>
      </c>
      <c r="B13" s="47" t="s">
        <v>41</v>
      </c>
      <c r="C13" s="41" t="s">
        <v>36</v>
      </c>
      <c r="D13" s="48">
        <f t="shared" si="3"/>
        <v>46194</v>
      </c>
      <c r="E13" s="43">
        <f t="shared" si="0"/>
        <v>46200</v>
      </c>
      <c r="F13" s="44" t="e">
        <f t="shared" ca="1" si="1"/>
        <v>#NAME?</v>
      </c>
      <c r="G13" s="45" t="str">
        <f t="shared" ca="1" si="2"/>
        <v>Not Started</v>
      </c>
      <c r="H13" s="39" t="b">
        <v>0</v>
      </c>
      <c r="I13" s="47" t="s">
        <v>76</v>
      </c>
      <c r="J13" s="46"/>
    </row>
    <row r="14" spans="1:10" ht="13.8">
      <c r="A14" s="39" t="s">
        <v>43</v>
      </c>
      <c r="B14" s="47" t="s">
        <v>44</v>
      </c>
      <c r="C14" s="41" t="s">
        <v>36</v>
      </c>
      <c r="D14" s="48">
        <f t="shared" si="3"/>
        <v>46201</v>
      </c>
      <c r="E14" s="43">
        <f t="shared" si="0"/>
        <v>46207</v>
      </c>
      <c r="F14" s="44" t="e">
        <f t="shared" ca="1" si="1"/>
        <v>#NAME?</v>
      </c>
      <c r="G14" s="45" t="str">
        <f t="shared" ca="1" si="2"/>
        <v>Not Started</v>
      </c>
      <c r="H14" s="39" t="b">
        <v>0</v>
      </c>
      <c r="I14" s="47" t="s">
        <v>77</v>
      </c>
      <c r="J14" s="46"/>
    </row>
    <row r="15" spans="1:10" ht="13.8">
      <c r="A15" s="39" t="s">
        <v>43</v>
      </c>
      <c r="B15" s="47" t="s">
        <v>44</v>
      </c>
      <c r="C15" s="41" t="s">
        <v>46</v>
      </c>
      <c r="D15" s="48">
        <f t="shared" si="3"/>
        <v>46201</v>
      </c>
      <c r="E15" s="43">
        <f t="shared" si="0"/>
        <v>46207</v>
      </c>
      <c r="F15" s="44" t="e">
        <f t="shared" ca="1" si="1"/>
        <v>#NAME?</v>
      </c>
      <c r="G15" s="45" t="str">
        <f t="shared" ca="1" si="2"/>
        <v>Not Started</v>
      </c>
      <c r="H15" s="39" t="b">
        <v>0</v>
      </c>
      <c r="I15" s="47" t="s">
        <v>78</v>
      </c>
      <c r="J15" s="46"/>
    </row>
    <row r="16" spans="1:10" ht="13.8">
      <c r="A16" s="39" t="s">
        <v>43</v>
      </c>
      <c r="B16" s="47" t="s">
        <v>44</v>
      </c>
      <c r="C16" s="41" t="s">
        <v>46</v>
      </c>
      <c r="D16" s="48">
        <f t="shared" si="3"/>
        <v>46201</v>
      </c>
      <c r="E16" s="43">
        <f t="shared" si="0"/>
        <v>46207</v>
      </c>
      <c r="F16" s="44" t="e">
        <f t="shared" ca="1" si="1"/>
        <v>#NAME?</v>
      </c>
      <c r="G16" s="45" t="str">
        <f t="shared" ca="1" si="2"/>
        <v>Not Started</v>
      </c>
      <c r="H16" s="39" t="b">
        <v>0</v>
      </c>
      <c r="I16" s="47" t="s">
        <v>79</v>
      </c>
      <c r="J16" s="46"/>
    </row>
    <row r="17" spans="1:10" ht="13.8">
      <c r="A17" s="39" t="s">
        <v>43</v>
      </c>
      <c r="B17" s="47" t="s">
        <v>44</v>
      </c>
      <c r="C17" s="41" t="s">
        <v>46</v>
      </c>
      <c r="D17" s="48">
        <f t="shared" si="3"/>
        <v>46201</v>
      </c>
      <c r="E17" s="43">
        <f t="shared" si="0"/>
        <v>46207</v>
      </c>
      <c r="F17" s="44" t="e">
        <f t="shared" ca="1" si="1"/>
        <v>#NAME?</v>
      </c>
      <c r="G17" s="45" t="str">
        <f t="shared" ca="1" si="2"/>
        <v>Not Started</v>
      </c>
      <c r="H17" s="39" t="b">
        <v>0</v>
      </c>
      <c r="I17" s="47" t="s">
        <v>80</v>
      </c>
      <c r="J17" s="46"/>
    </row>
    <row r="18" spans="1:10" ht="13.8">
      <c r="A18" s="39" t="s">
        <v>47</v>
      </c>
      <c r="B18" s="47" t="s">
        <v>48</v>
      </c>
      <c r="C18" s="41" t="s">
        <v>49</v>
      </c>
      <c r="D18" s="48">
        <f t="shared" si="3"/>
        <v>46208</v>
      </c>
      <c r="E18" s="43">
        <f t="shared" si="0"/>
        <v>46214</v>
      </c>
      <c r="F18" s="44" t="e">
        <f t="shared" ca="1" si="1"/>
        <v>#NAME?</v>
      </c>
      <c r="G18" s="45" t="str">
        <f t="shared" ca="1" si="2"/>
        <v>Not Started</v>
      </c>
      <c r="H18" s="39" t="b">
        <v>0</v>
      </c>
      <c r="I18" s="47" t="s">
        <v>81</v>
      </c>
      <c r="J18" s="46"/>
    </row>
    <row r="19" spans="1:10" ht="13.8">
      <c r="A19" s="39" t="s">
        <v>47</v>
      </c>
      <c r="B19" s="47" t="s">
        <v>48</v>
      </c>
      <c r="C19" s="41" t="s">
        <v>49</v>
      </c>
      <c r="D19" s="48">
        <f t="shared" si="3"/>
        <v>46208</v>
      </c>
      <c r="E19" s="43">
        <f t="shared" si="0"/>
        <v>46214</v>
      </c>
      <c r="F19" s="44" t="e">
        <f t="shared" ca="1" si="1"/>
        <v>#NAME?</v>
      </c>
      <c r="G19" s="45" t="str">
        <f t="shared" ca="1" si="2"/>
        <v>Not Started</v>
      </c>
      <c r="H19" s="39" t="b">
        <v>0</v>
      </c>
      <c r="I19" s="47" t="s">
        <v>82</v>
      </c>
      <c r="J19" s="46"/>
    </row>
    <row r="20" spans="1:10" ht="13.8">
      <c r="A20" s="39" t="s">
        <v>47</v>
      </c>
      <c r="B20" s="47" t="s">
        <v>48</v>
      </c>
      <c r="C20" s="41" t="s">
        <v>46</v>
      </c>
      <c r="D20" s="48">
        <f t="shared" si="3"/>
        <v>46208</v>
      </c>
      <c r="E20" s="43">
        <f t="shared" si="0"/>
        <v>46214</v>
      </c>
      <c r="F20" s="44" t="e">
        <f t="shared" ca="1" si="1"/>
        <v>#NAME?</v>
      </c>
      <c r="G20" s="45" t="str">
        <f t="shared" ca="1" si="2"/>
        <v>Not Started</v>
      </c>
      <c r="H20" s="39" t="b">
        <v>0</v>
      </c>
      <c r="I20" s="47" t="s">
        <v>83</v>
      </c>
      <c r="J20" s="46"/>
    </row>
    <row r="21" spans="1:10" ht="13.8">
      <c r="A21" s="39" t="s">
        <v>47</v>
      </c>
      <c r="B21" s="47" t="s">
        <v>48</v>
      </c>
      <c r="C21" s="41" t="s">
        <v>46</v>
      </c>
      <c r="D21" s="48">
        <f t="shared" si="3"/>
        <v>46208</v>
      </c>
      <c r="E21" s="43">
        <f t="shared" si="0"/>
        <v>46214</v>
      </c>
      <c r="F21" s="44" t="e">
        <f t="shared" ca="1" si="1"/>
        <v>#NAME?</v>
      </c>
      <c r="G21" s="45" t="str">
        <f t="shared" ca="1" si="2"/>
        <v>Not Started</v>
      </c>
      <c r="H21" s="39" t="b">
        <v>0</v>
      </c>
      <c r="I21" s="47" t="s">
        <v>84</v>
      </c>
      <c r="J21" s="46"/>
    </row>
    <row r="22" spans="1:10" ht="13.8">
      <c r="A22" s="39" t="s">
        <v>52</v>
      </c>
      <c r="B22" s="47" t="s">
        <v>53</v>
      </c>
      <c r="C22" s="41" t="s">
        <v>46</v>
      </c>
      <c r="D22" s="48">
        <f t="shared" si="3"/>
        <v>46215</v>
      </c>
      <c r="E22" s="43">
        <f t="shared" si="0"/>
        <v>46221</v>
      </c>
      <c r="F22" s="44" t="e">
        <f t="shared" ca="1" si="1"/>
        <v>#NAME?</v>
      </c>
      <c r="G22" s="45" t="str">
        <f t="shared" ca="1" si="2"/>
        <v>Not Started</v>
      </c>
      <c r="H22" s="39" t="b">
        <v>0</v>
      </c>
      <c r="I22" s="47" t="s">
        <v>85</v>
      </c>
      <c r="J22" s="46"/>
    </row>
    <row r="23" spans="1:10" ht="13.8">
      <c r="A23" s="39" t="s">
        <v>52</v>
      </c>
      <c r="B23" s="47" t="s">
        <v>53</v>
      </c>
      <c r="C23" s="41" t="s">
        <v>46</v>
      </c>
      <c r="D23" s="48">
        <f t="shared" si="3"/>
        <v>46215</v>
      </c>
      <c r="E23" s="43">
        <f t="shared" si="0"/>
        <v>46221</v>
      </c>
      <c r="F23" s="44" t="e">
        <f t="shared" ca="1" si="1"/>
        <v>#NAME?</v>
      </c>
      <c r="G23" s="45" t="str">
        <f t="shared" ca="1" si="2"/>
        <v>Not Started</v>
      </c>
      <c r="H23" s="39" t="b">
        <v>0</v>
      </c>
      <c r="I23" s="47" t="s">
        <v>86</v>
      </c>
      <c r="J23" s="46"/>
    </row>
    <row r="24" spans="1:10" ht="13.8">
      <c r="A24" s="39" t="s">
        <v>52</v>
      </c>
      <c r="B24" s="47" t="s">
        <v>53</v>
      </c>
      <c r="C24" s="41" t="s">
        <v>46</v>
      </c>
      <c r="D24" s="48">
        <f t="shared" si="3"/>
        <v>46215</v>
      </c>
      <c r="E24" s="43">
        <f t="shared" si="0"/>
        <v>46221</v>
      </c>
      <c r="F24" s="44" t="e">
        <f t="shared" ca="1" si="1"/>
        <v>#NAME?</v>
      </c>
      <c r="G24" s="45" t="str">
        <f t="shared" ca="1" si="2"/>
        <v>Not Started</v>
      </c>
      <c r="H24" s="39" t="b">
        <v>0</v>
      </c>
      <c r="I24" s="47" t="s">
        <v>87</v>
      </c>
      <c r="J24" s="46"/>
    </row>
    <row r="25" spans="1:10" ht="13.8">
      <c r="A25" s="39" t="s">
        <v>55</v>
      </c>
      <c r="B25" s="47" t="s">
        <v>56</v>
      </c>
      <c r="C25" s="41" t="s">
        <v>46</v>
      </c>
      <c r="D25" s="48">
        <f t="shared" si="3"/>
        <v>46222</v>
      </c>
      <c r="E25" s="43">
        <f t="shared" si="0"/>
        <v>46235</v>
      </c>
      <c r="F25" s="44" t="e">
        <f t="shared" ca="1" si="1"/>
        <v>#NAME?</v>
      </c>
      <c r="G25" s="45" t="str">
        <f t="shared" ca="1" si="2"/>
        <v>Not Started</v>
      </c>
      <c r="H25" s="39" t="b">
        <v>0</v>
      </c>
      <c r="I25" s="47" t="s">
        <v>88</v>
      </c>
      <c r="J25" s="46"/>
    </row>
    <row r="26" spans="1:10" ht="13.8">
      <c r="A26" s="39" t="s">
        <v>55</v>
      </c>
      <c r="B26" s="47" t="s">
        <v>56</v>
      </c>
      <c r="C26" s="41" t="s">
        <v>46</v>
      </c>
      <c r="D26" s="48">
        <f t="shared" si="3"/>
        <v>46222</v>
      </c>
      <c r="E26" s="43">
        <f t="shared" si="0"/>
        <v>46235</v>
      </c>
      <c r="F26" s="44" t="e">
        <f t="shared" ca="1" si="1"/>
        <v>#NAME?</v>
      </c>
      <c r="G26" s="45" t="str">
        <f t="shared" ca="1" si="2"/>
        <v>Not Started</v>
      </c>
      <c r="H26" s="39" t="b">
        <v>0</v>
      </c>
      <c r="I26" s="47" t="s">
        <v>89</v>
      </c>
      <c r="J26" s="46"/>
    </row>
    <row r="29" spans="1:10" ht="13.2">
      <c r="B29" s="1"/>
    </row>
    <row r="31" spans="1:10" ht="13.2">
      <c r="A31" s="49"/>
      <c r="B31" s="1"/>
      <c r="C31" s="1"/>
      <c r="D31" s="1"/>
    </row>
    <row r="32" spans="1:10" ht="13.2">
      <c r="B32" s="1"/>
      <c r="D32" s="1"/>
    </row>
    <row r="33" spans="2:4" ht="13.2">
      <c r="B33" s="1"/>
      <c r="D33" s="1"/>
    </row>
    <row r="34" spans="2:4" ht="13.8">
      <c r="B34" s="50"/>
      <c r="C34" s="50"/>
      <c r="D34" s="50"/>
    </row>
    <row r="35" spans="2:4" ht="13.8">
      <c r="B35" s="47"/>
      <c r="C35" s="47"/>
      <c r="D35" s="47"/>
    </row>
    <row r="36" spans="2:4" ht="13.8">
      <c r="B36" s="47"/>
      <c r="C36" s="47"/>
      <c r="D36" s="47"/>
    </row>
    <row r="37" spans="2:4" ht="13.8">
      <c r="B37" s="47"/>
      <c r="C37" s="47"/>
      <c r="D37" s="47"/>
    </row>
    <row r="38" spans="2:4" ht="13.8">
      <c r="B38" s="47"/>
      <c r="C38" s="47"/>
      <c r="D38" s="47"/>
    </row>
    <row r="39" spans="2:4" ht="13.8">
      <c r="B39" s="47"/>
      <c r="C39" s="47"/>
      <c r="D39" s="47"/>
    </row>
    <row r="40" spans="2:4" ht="13.8">
      <c r="B40" s="47"/>
      <c r="C40" s="47"/>
      <c r="D40" s="47"/>
    </row>
    <row r="41" spans="2:4" ht="13.8">
      <c r="B41" s="47"/>
      <c r="C41" s="47"/>
      <c r="D41" s="47"/>
    </row>
    <row r="42" spans="2:4" ht="13.8">
      <c r="B42" s="47"/>
      <c r="C42" s="47"/>
      <c r="D42" s="47"/>
    </row>
    <row r="43" spans="2:4" ht="13.8">
      <c r="B43" s="47"/>
      <c r="C43" s="47"/>
      <c r="D43" s="47"/>
    </row>
    <row r="44" spans="2:4" ht="13.8">
      <c r="B44" s="47"/>
      <c r="C44" s="47"/>
      <c r="D44" s="47"/>
    </row>
    <row r="45" spans="2:4" ht="13.8">
      <c r="B45" s="47"/>
      <c r="C45" s="47"/>
      <c r="D45" s="47"/>
    </row>
    <row r="46" spans="2:4" ht="13.8">
      <c r="B46" s="47"/>
      <c r="C46" s="47"/>
      <c r="D46" s="47"/>
    </row>
    <row r="47" spans="2:4" ht="13.8">
      <c r="B47" s="47"/>
      <c r="C47" s="47"/>
      <c r="D47" s="47"/>
    </row>
    <row r="48" spans="2:4" ht="13.8">
      <c r="B48" s="47"/>
      <c r="C48" s="47"/>
      <c r="D48" s="47"/>
    </row>
    <row r="49" spans="2:4" ht="13.8">
      <c r="B49" s="47"/>
      <c r="C49" s="47"/>
      <c r="D49" s="47"/>
    </row>
    <row r="50" spans="2:4" ht="13.8">
      <c r="B50" s="47"/>
      <c r="C50" s="47"/>
      <c r="D50" s="47"/>
    </row>
    <row r="51" spans="2:4" ht="13.8">
      <c r="B51" s="47"/>
      <c r="C51" s="47"/>
      <c r="D51" s="47"/>
    </row>
    <row r="52" spans="2:4" ht="13.8">
      <c r="B52" s="47"/>
      <c r="C52" s="47"/>
      <c r="D52" s="47"/>
    </row>
    <row r="53" spans="2:4" ht="13.8">
      <c r="B53" s="47"/>
      <c r="C53" s="47"/>
      <c r="D53" s="47"/>
    </row>
    <row r="54" spans="2:4" ht="13.8">
      <c r="B54" s="47"/>
      <c r="C54" s="47"/>
      <c r="D54" s="47"/>
    </row>
  </sheetData>
  <conditionalFormatting sqref="G6:G26">
    <cfRule type="cellIs" dxfId="2" priority="1" stopIfTrue="1" operator="equal">
      <formula>"Done"</formula>
    </cfRule>
  </conditionalFormatting>
  <conditionalFormatting sqref="G6:G26">
    <cfRule type="cellIs" dxfId="1" priority="2" stopIfTrue="1" operator="equal">
      <formula>"In Progress"</formula>
    </cfRule>
  </conditionalFormatting>
  <conditionalFormatting sqref="G6:G26">
    <cfRule type="cellIs" dxfId="0" priority="3" stopIfTrue="1" operator="equal">
      <formula>"Not Started"</formula>
    </cfRule>
  </conditionalFormatting>
  <dataValidations count="2">
    <dataValidation type="custom" allowBlank="1" showDropDown="1" sqref="D6:E26" xr:uid="{00000000-0002-0000-0100-000000000000}">
      <formula1>OR(NOT(ISERROR(DATEVALUE(D6))), AND(ISNUMBER(D6), LEFT(CELL("format", D6))="D"))</formula1>
    </dataValidation>
    <dataValidation type="list" allowBlank="1" sqref="C6:C26" xr:uid="{00000000-0002-0000-0100-000001000000}">
      <formula1>"Solution Team,Implement Team,Senior Eng. Mgr.,Ass. Solution Mgr.,Project Co.,PM,Executive,Service Team,Ass. Service Mgr."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E6AB-EF2D-47D8-9057-A66DAA581DA6}">
  <dimension ref="B1:J22"/>
  <sheetViews>
    <sheetView workbookViewId="0">
      <selection activeCell="L14" sqref="L14"/>
    </sheetView>
  </sheetViews>
  <sheetFormatPr defaultRowHeight="13.2"/>
  <cols>
    <col min="2" max="2" width="29" style="64" customWidth="1"/>
    <col min="3" max="3" width="8.88671875" style="66"/>
    <col min="4" max="4" width="8.88671875" style="66" customWidth="1"/>
    <col min="5" max="9" width="8.88671875" style="66"/>
    <col min="10" max="10" width="10.77734375" style="63" customWidth="1"/>
  </cols>
  <sheetData>
    <row r="1" spans="2:10" ht="16.8" customHeight="1">
      <c r="B1" s="64" t="s">
        <v>161</v>
      </c>
      <c r="C1" s="85" t="s">
        <v>162</v>
      </c>
      <c r="D1" s="85"/>
      <c r="E1" s="85"/>
      <c r="F1" s="85"/>
      <c r="G1" s="85"/>
      <c r="H1" s="85"/>
      <c r="I1" s="85"/>
      <c r="J1" s="59" t="s">
        <v>159</v>
      </c>
    </row>
    <row r="2" spans="2:10" ht="16.8" customHeight="1">
      <c r="B2" s="84" t="s">
        <v>35</v>
      </c>
      <c r="C2" s="67" t="s">
        <v>70</v>
      </c>
      <c r="D2" s="68"/>
      <c r="E2" s="68"/>
      <c r="F2" s="68"/>
      <c r="G2" s="68"/>
      <c r="H2" s="68"/>
      <c r="I2" s="68"/>
      <c r="J2" s="60">
        <v>13</v>
      </c>
    </row>
    <row r="3" spans="2:10" ht="16.8" customHeight="1">
      <c r="B3" s="84"/>
      <c r="C3" s="69" t="s">
        <v>71</v>
      </c>
      <c r="D3" s="70"/>
      <c r="E3" s="70"/>
      <c r="F3" s="70"/>
      <c r="G3" s="70"/>
      <c r="H3" s="70"/>
      <c r="I3" s="70"/>
      <c r="J3" s="61"/>
    </row>
    <row r="4" spans="2:10" ht="16.8" customHeight="1">
      <c r="B4" s="84"/>
      <c r="C4" s="69" t="s">
        <v>72</v>
      </c>
      <c r="D4" s="70"/>
      <c r="E4" s="70"/>
      <c r="F4" s="70"/>
      <c r="G4" s="70"/>
      <c r="H4" s="70"/>
      <c r="I4" s="70"/>
      <c r="J4" s="61"/>
    </row>
    <row r="5" spans="2:10" ht="16.8" customHeight="1">
      <c r="B5" s="84"/>
      <c r="C5" s="69" t="s">
        <v>73</v>
      </c>
      <c r="D5" s="70"/>
      <c r="E5" s="70"/>
      <c r="F5" s="70"/>
      <c r="G5" s="70"/>
      <c r="H5" s="70"/>
      <c r="I5" s="70"/>
      <c r="J5" s="61"/>
    </row>
    <row r="6" spans="2:10" ht="16.8" customHeight="1">
      <c r="B6" s="84"/>
      <c r="C6" s="71" t="s">
        <v>74</v>
      </c>
      <c r="D6" s="72"/>
      <c r="E6" s="72"/>
      <c r="F6" s="72"/>
      <c r="G6" s="72"/>
      <c r="H6" s="72"/>
      <c r="I6" s="72"/>
      <c r="J6" s="62"/>
    </row>
    <row r="7" spans="2:10" ht="16.8" customHeight="1">
      <c r="B7" s="84" t="s">
        <v>41</v>
      </c>
      <c r="C7" s="73" t="s">
        <v>75</v>
      </c>
      <c r="D7" s="70"/>
      <c r="E7" s="70"/>
      <c r="F7" s="70"/>
      <c r="G7" s="70"/>
      <c r="H7" s="70"/>
      <c r="I7" s="70"/>
      <c r="J7" s="60">
        <v>6</v>
      </c>
    </row>
    <row r="8" spans="2:10" ht="16.8" customHeight="1">
      <c r="B8" s="84"/>
      <c r="C8" s="73" t="s">
        <v>76</v>
      </c>
      <c r="D8" s="70"/>
      <c r="E8" s="70"/>
      <c r="F8" s="70"/>
      <c r="G8" s="70"/>
      <c r="H8" s="70"/>
      <c r="I8" s="70"/>
      <c r="J8" s="62"/>
    </row>
    <row r="9" spans="2:10" ht="16.8" customHeight="1">
      <c r="B9" s="84" t="s">
        <v>44</v>
      </c>
      <c r="C9" s="74" t="s">
        <v>77</v>
      </c>
      <c r="D9" s="68"/>
      <c r="E9" s="68"/>
      <c r="F9" s="68"/>
      <c r="G9" s="68"/>
      <c r="H9" s="68"/>
      <c r="I9" s="68"/>
      <c r="J9" s="60">
        <v>6</v>
      </c>
    </row>
    <row r="10" spans="2:10" ht="16.8" customHeight="1">
      <c r="B10" s="84"/>
      <c r="C10" s="73" t="s">
        <v>78</v>
      </c>
      <c r="D10" s="70"/>
      <c r="E10" s="70"/>
      <c r="F10" s="70"/>
      <c r="G10" s="70"/>
      <c r="H10" s="70"/>
      <c r="I10" s="70"/>
      <c r="J10" s="61"/>
    </row>
    <row r="11" spans="2:10" ht="16.8" customHeight="1">
      <c r="B11" s="84"/>
      <c r="C11" s="73" t="s">
        <v>79</v>
      </c>
      <c r="D11" s="70"/>
      <c r="E11" s="70"/>
      <c r="F11" s="70"/>
      <c r="G11" s="70"/>
      <c r="H11" s="70"/>
      <c r="I11" s="70"/>
      <c r="J11" s="61"/>
    </row>
    <row r="12" spans="2:10" ht="16.8" customHeight="1">
      <c r="B12" s="84"/>
      <c r="C12" s="73" t="s">
        <v>80</v>
      </c>
      <c r="D12" s="70"/>
      <c r="E12" s="70"/>
      <c r="F12" s="70"/>
      <c r="G12" s="70"/>
      <c r="H12" s="70"/>
      <c r="I12" s="70"/>
      <c r="J12" s="61"/>
    </row>
    <row r="13" spans="2:10" ht="16.8" customHeight="1">
      <c r="B13" s="84" t="s">
        <v>48</v>
      </c>
      <c r="C13" s="74" t="s">
        <v>81</v>
      </c>
      <c r="D13" s="68"/>
      <c r="E13" s="68"/>
      <c r="F13" s="68"/>
      <c r="G13" s="68"/>
      <c r="H13" s="68"/>
      <c r="I13" s="68"/>
      <c r="J13" s="60">
        <v>6</v>
      </c>
    </row>
    <row r="14" spans="2:10" ht="16.8" customHeight="1">
      <c r="B14" s="84"/>
      <c r="C14" s="73" t="s">
        <v>82</v>
      </c>
      <c r="D14" s="70"/>
      <c r="E14" s="70"/>
      <c r="F14" s="70"/>
      <c r="G14" s="70"/>
      <c r="H14" s="70"/>
      <c r="I14" s="70"/>
      <c r="J14" s="61"/>
    </row>
    <row r="15" spans="2:10" ht="16.8" customHeight="1">
      <c r="B15" s="84"/>
      <c r="C15" s="73" t="s">
        <v>83</v>
      </c>
      <c r="D15" s="70"/>
      <c r="E15" s="70"/>
      <c r="F15" s="70"/>
      <c r="G15" s="70"/>
      <c r="H15" s="70"/>
      <c r="I15" s="70"/>
      <c r="J15" s="61"/>
    </row>
    <row r="16" spans="2:10" ht="16.8" customHeight="1">
      <c r="B16" s="84"/>
      <c r="C16" s="73" t="s">
        <v>84</v>
      </c>
      <c r="D16" s="70"/>
      <c r="E16" s="70"/>
      <c r="F16" s="70"/>
      <c r="G16" s="70"/>
      <c r="H16" s="70"/>
      <c r="I16" s="70"/>
      <c r="J16" s="61"/>
    </row>
    <row r="17" spans="2:10" ht="16.8" customHeight="1">
      <c r="B17" s="84" t="s">
        <v>53</v>
      </c>
      <c r="C17" s="74" t="s">
        <v>85</v>
      </c>
      <c r="D17" s="68"/>
      <c r="E17" s="68"/>
      <c r="F17" s="68"/>
      <c r="G17" s="68"/>
      <c r="H17" s="68"/>
      <c r="I17" s="68"/>
      <c r="J17" s="60">
        <v>6</v>
      </c>
    </row>
    <row r="18" spans="2:10" ht="16.8" customHeight="1">
      <c r="B18" s="84"/>
      <c r="C18" s="73" t="s">
        <v>86</v>
      </c>
      <c r="D18" s="70"/>
      <c r="E18" s="70"/>
      <c r="F18" s="70"/>
      <c r="G18" s="70"/>
      <c r="H18" s="70"/>
      <c r="I18" s="70"/>
      <c r="J18" s="61"/>
    </row>
    <row r="19" spans="2:10" ht="16.8" customHeight="1">
      <c r="B19" s="84"/>
      <c r="C19" s="73" t="s">
        <v>87</v>
      </c>
      <c r="D19" s="70"/>
      <c r="E19" s="70"/>
      <c r="F19" s="70"/>
      <c r="G19" s="70"/>
      <c r="H19" s="70"/>
      <c r="I19" s="70"/>
      <c r="J19" s="61"/>
    </row>
    <row r="20" spans="2:10" ht="16.8" customHeight="1">
      <c r="B20" s="84" t="s">
        <v>56</v>
      </c>
      <c r="C20" s="74" t="s">
        <v>88</v>
      </c>
      <c r="D20" s="68"/>
      <c r="E20" s="68"/>
      <c r="F20" s="68"/>
      <c r="G20" s="68"/>
      <c r="H20" s="68"/>
      <c r="I20" s="68"/>
      <c r="J20" s="60">
        <v>13</v>
      </c>
    </row>
    <row r="21" spans="2:10" ht="16.8" customHeight="1">
      <c r="B21" s="84"/>
      <c r="C21" s="75" t="s">
        <v>89</v>
      </c>
      <c r="D21" s="72"/>
      <c r="E21" s="72"/>
      <c r="F21" s="72"/>
      <c r="G21" s="72"/>
      <c r="H21" s="72"/>
      <c r="I21" s="72"/>
      <c r="J21" s="62"/>
    </row>
    <row r="22" spans="2:10">
      <c r="I22" s="66" t="s">
        <v>160</v>
      </c>
      <c r="J22" s="65">
        <f>SUM(J2:J20)</f>
        <v>50</v>
      </c>
    </row>
  </sheetData>
  <mergeCells count="7">
    <mergeCell ref="B20:B21"/>
    <mergeCell ref="C1:I1"/>
    <mergeCell ref="B2:B6"/>
    <mergeCell ref="B7:B8"/>
    <mergeCell ref="B9:B12"/>
    <mergeCell ref="B13:B16"/>
    <mergeCell ref="B17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"/>
  <sheetViews>
    <sheetView workbookViewId="0">
      <selection activeCell="G2" sqref="G2"/>
    </sheetView>
  </sheetViews>
  <sheetFormatPr defaultColWidth="12.6640625" defaultRowHeight="15.75" customHeight="1"/>
  <cols>
    <col min="1" max="1" width="11" customWidth="1"/>
    <col min="2" max="2" width="10.44140625" customWidth="1"/>
    <col min="3" max="3" width="12.5546875" customWidth="1"/>
    <col min="4" max="6" width="22.21875" customWidth="1"/>
    <col min="7" max="7" width="19.5546875" customWidth="1"/>
    <col min="8" max="8" width="23" customWidth="1"/>
  </cols>
  <sheetData>
    <row r="1" spans="1:8">
      <c r="A1" s="51" t="s">
        <v>90</v>
      </c>
      <c r="B1" s="51" t="s">
        <v>91</v>
      </c>
      <c r="C1" s="51" t="s">
        <v>92</v>
      </c>
      <c r="D1" s="51" t="s">
        <v>93</v>
      </c>
      <c r="E1" s="51" t="s">
        <v>94</v>
      </c>
      <c r="F1" s="51" t="s">
        <v>95</v>
      </c>
      <c r="G1" s="51" t="s">
        <v>96</v>
      </c>
      <c r="H1" s="51" t="s">
        <v>97</v>
      </c>
    </row>
    <row r="2" spans="1:8">
      <c r="A2" s="52">
        <v>46082</v>
      </c>
      <c r="B2" s="53" t="s">
        <v>98</v>
      </c>
      <c r="C2" s="53" t="s">
        <v>99</v>
      </c>
      <c r="D2" s="53" t="s">
        <v>100</v>
      </c>
      <c r="E2" s="53" t="s">
        <v>101</v>
      </c>
      <c r="F2" s="53" t="s">
        <v>102</v>
      </c>
      <c r="G2" s="53" t="s">
        <v>103</v>
      </c>
      <c r="H2" s="53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"/>
  <sheetViews>
    <sheetView workbookViewId="0">
      <selection activeCell="F1" sqref="F1"/>
    </sheetView>
  </sheetViews>
  <sheetFormatPr defaultColWidth="12.6640625" defaultRowHeight="15.75" customHeight="1"/>
  <cols>
    <col min="3" max="3" width="22.77734375" customWidth="1"/>
    <col min="4" max="6" width="24" customWidth="1"/>
  </cols>
  <sheetData>
    <row r="1" spans="1:7">
      <c r="A1" s="54" t="s">
        <v>105</v>
      </c>
      <c r="B1" s="54" t="s">
        <v>106</v>
      </c>
      <c r="C1" s="54" t="s">
        <v>107</v>
      </c>
      <c r="D1" s="54" t="s">
        <v>108</v>
      </c>
      <c r="E1" s="54" t="s">
        <v>109</v>
      </c>
      <c r="F1" s="54" t="s">
        <v>110</v>
      </c>
      <c r="G1" s="54" t="s">
        <v>111</v>
      </c>
    </row>
    <row r="2" spans="1:7">
      <c r="A2" s="52">
        <v>46097</v>
      </c>
      <c r="B2" s="53" t="s">
        <v>112</v>
      </c>
      <c r="C2" s="53" t="s">
        <v>113</v>
      </c>
      <c r="D2" s="53" t="s">
        <v>114</v>
      </c>
      <c r="E2" s="53" t="s">
        <v>115</v>
      </c>
      <c r="F2" s="53" t="s">
        <v>116</v>
      </c>
      <c r="G2" s="53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"/>
  <sheetViews>
    <sheetView workbookViewId="0">
      <selection activeCell="D1" sqref="D1"/>
    </sheetView>
  </sheetViews>
  <sheetFormatPr defaultColWidth="12.6640625" defaultRowHeight="15.75" customHeight="1"/>
  <cols>
    <col min="1" max="1" width="13.88671875" customWidth="1"/>
    <col min="2" max="2" width="21.33203125" customWidth="1"/>
    <col min="3" max="3" width="25.21875" customWidth="1"/>
    <col min="4" max="4" width="28.109375" customWidth="1"/>
    <col min="5" max="5" width="25" customWidth="1"/>
    <col min="6" max="6" width="21.6640625" customWidth="1"/>
  </cols>
  <sheetData>
    <row r="1" spans="1:6">
      <c r="A1" s="55" t="s">
        <v>118</v>
      </c>
      <c r="B1" s="55" t="s">
        <v>119</v>
      </c>
      <c r="C1" s="55" t="s">
        <v>120</v>
      </c>
      <c r="D1" s="55" t="s">
        <v>121</v>
      </c>
      <c r="E1" s="55" t="s">
        <v>122</v>
      </c>
      <c r="F1" s="55" t="s">
        <v>123</v>
      </c>
    </row>
    <row r="2" spans="1:6">
      <c r="A2" s="52">
        <v>46104</v>
      </c>
      <c r="B2" s="53" t="s">
        <v>124</v>
      </c>
      <c r="C2" s="53" t="s">
        <v>125</v>
      </c>
      <c r="D2" s="53" t="s">
        <v>126</v>
      </c>
      <c r="E2" s="53" t="s">
        <v>127</v>
      </c>
      <c r="F2" s="53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2"/>
  <sheetViews>
    <sheetView topLeftCell="C1" workbookViewId="0">
      <selection activeCell="L1" sqref="L1"/>
    </sheetView>
  </sheetViews>
  <sheetFormatPr defaultColWidth="12.6640625" defaultRowHeight="15.75" customHeight="1"/>
  <cols>
    <col min="1" max="4" width="17.5546875" customWidth="1"/>
    <col min="5" max="5" width="10.77734375" customWidth="1"/>
    <col min="6" max="6" width="7.88671875" customWidth="1"/>
    <col min="7" max="7" width="5.5546875" customWidth="1"/>
    <col min="8" max="9" width="17.5546875" customWidth="1"/>
    <col min="10" max="11" width="12.5546875" customWidth="1"/>
    <col min="12" max="12" width="14" customWidth="1"/>
    <col min="13" max="13" width="17.5546875" customWidth="1"/>
  </cols>
  <sheetData>
    <row r="1" spans="1:13">
      <c r="A1" s="56" t="s">
        <v>129</v>
      </c>
      <c r="B1" s="56" t="s">
        <v>130</v>
      </c>
      <c r="C1" s="56" t="s">
        <v>131</v>
      </c>
      <c r="D1" s="56" t="s">
        <v>132</v>
      </c>
      <c r="E1" s="56" t="s">
        <v>133</v>
      </c>
      <c r="F1" s="56" t="s">
        <v>134</v>
      </c>
      <c r="G1" s="56" t="s">
        <v>135</v>
      </c>
      <c r="H1" s="56" t="s">
        <v>136</v>
      </c>
      <c r="I1" s="56" t="s">
        <v>137</v>
      </c>
      <c r="J1" s="56" t="s">
        <v>138</v>
      </c>
      <c r="K1" s="56" t="s">
        <v>139</v>
      </c>
      <c r="L1" s="56" t="s">
        <v>140</v>
      </c>
      <c r="M1" s="56" t="s">
        <v>141</v>
      </c>
    </row>
    <row r="2" spans="1:13">
      <c r="A2" s="57">
        <v>1</v>
      </c>
      <c r="B2" s="53" t="s">
        <v>17</v>
      </c>
      <c r="C2" s="53" t="s">
        <v>142</v>
      </c>
      <c r="D2" s="53" t="s">
        <v>143</v>
      </c>
      <c r="E2" s="53" t="s">
        <v>144</v>
      </c>
      <c r="F2" s="57">
        <v>2</v>
      </c>
      <c r="G2" s="53" t="s">
        <v>145</v>
      </c>
      <c r="H2" s="53" t="s">
        <v>146</v>
      </c>
      <c r="I2" s="52">
        <v>46117</v>
      </c>
      <c r="J2" s="57">
        <v>15000</v>
      </c>
      <c r="K2" s="57">
        <f>F2*J2</f>
        <v>30000</v>
      </c>
      <c r="L2" s="57">
        <v>45</v>
      </c>
      <c r="M2" s="5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"/>
  <sheetViews>
    <sheetView workbookViewId="0">
      <selection activeCell="B1" sqref="B1"/>
    </sheetView>
  </sheetViews>
  <sheetFormatPr defaultColWidth="12.6640625" defaultRowHeight="15.75" customHeight="1"/>
  <cols>
    <col min="1" max="1" width="16.33203125" customWidth="1"/>
    <col min="2" max="5" width="22.6640625" customWidth="1"/>
    <col min="6" max="6" width="20.6640625" customWidth="1"/>
    <col min="7" max="7" width="19.6640625" customWidth="1"/>
  </cols>
  <sheetData>
    <row r="1" spans="1:7">
      <c r="A1" s="58" t="s">
        <v>148</v>
      </c>
      <c r="B1" s="58" t="s">
        <v>149</v>
      </c>
      <c r="C1" s="58" t="s">
        <v>150</v>
      </c>
      <c r="D1" s="58" t="s">
        <v>151</v>
      </c>
      <c r="E1" s="58" t="s">
        <v>152</v>
      </c>
      <c r="F1" s="58" t="s">
        <v>153</v>
      </c>
      <c r="G1" s="58" t="s">
        <v>154</v>
      </c>
    </row>
    <row r="2" spans="1:7">
      <c r="A2" s="52">
        <v>46122</v>
      </c>
      <c r="B2" s="53" t="s">
        <v>155</v>
      </c>
      <c r="C2" s="53" t="s">
        <v>156</v>
      </c>
      <c r="D2" s="53" t="s">
        <v>157</v>
      </c>
      <c r="E2" s="53" t="s">
        <v>158</v>
      </c>
      <c r="F2" s="52">
        <v>46124</v>
      </c>
      <c r="G2" s="52">
        <v>46134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Project_Tracking</vt:lpstr>
      <vt:lpstr>project_taskdetail</vt:lpstr>
      <vt:lpstr>Site_Survey_Report</vt:lpstr>
      <vt:lpstr>Internal_Verification</vt:lpstr>
      <vt:lpstr>Customer_MoM</vt:lpstr>
      <vt:lpstr>BOM_and_Costing</vt:lpstr>
      <vt:lpstr>Exception_Log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ฺฺBoonyarith Akkarasongthum</cp:lastModifiedBy>
  <dcterms:modified xsi:type="dcterms:W3CDTF">2026-06-16T10:15:06Z</dcterms:modified>
</cp:coreProperties>
</file>