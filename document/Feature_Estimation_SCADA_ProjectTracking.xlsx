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lln\CWN Work\Project-Tracking\document\"/>
    </mc:Choice>
  </mc:AlternateContent>
  <xr:revisionPtr revIDLastSave="0" documentId="13_ncr:1_{912A24B6-7B41-4DB8-96BE-488D96F14895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Assumptions" sheetId="1" r:id="rId1"/>
    <sheet name="Feature Estimate" sheetId="2" r:id="rId2"/>
    <sheet name="Custom vs SaaS" sheetId="3" r:id="rId3"/>
    <sheet name="References" sheetId="4" r:id="rId4"/>
    <sheet name="Chart" sheetId="5" r:id="rId5"/>
    <sheet name="cat_type" sheetId="7" r:id="rId6"/>
    <sheet name="supplier" sheetId="8" r:id="rId7"/>
    <sheet name="_chartdata" sheetId="6" state="hidden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<sst xmlns="http://schemas.openxmlformats.org/spreadsheetml/2006/main" count="218" uniqueCount="175">
  <si>
    <t>Feature-Based Estimation — สมมติฐาน (Assumptions)</t>
  </si>
  <si>
    <t>SCADA/MML Project-Tracking SPA · ตลาดไทย · THB · ปี 2026</t>
  </si>
  <si>
    <t>เรทค่าพัฒนา (blended man-day)</t>
  </si>
  <si>
    <t>9,000 บาท/วัน</t>
  </si>
  <si>
    <t>Software house ไทย เฉลี่ยรวม junior→senior</t>
  </si>
  <si>
    <t>ช่วงเรท low – high</t>
  </si>
  <si>
    <t>7,000 – 12,000 บาท/วัน</t>
  </si>
  <si>
    <t>ใช้ทำ scenario ต่ำ/สูง</t>
  </si>
  <si>
    <t>PM / Overhead</t>
  </si>
  <si>
    <t>15%</t>
  </si>
  <si>
    <t>requirements, coordination, deployment</t>
  </si>
  <si>
    <t>อัตราแลกเปลี่ยน</t>
  </si>
  <si>
    <t>35 บาท/USD</t>
  </si>
  <si>
    <t>ใช้แปลงราคา SaaS</t>
  </si>
  <si>
    <t>SaaS เทียบขนาด</t>
  </si>
  <si>
    <t>20 users</t>
  </si>
  <si>
    <t>ฐานเทียบราคา subscription</t>
  </si>
  <si>
    <t>ขนาดโค้ดฐาน</t>
  </si>
  <si>
    <t>~14,000 บรรทัด (BE 3,238 + FE 10,824)</t>
  </si>
  <si>
    <t>35 REST endpoints, 61 tests</t>
  </si>
  <si>
    <t>วิธีประเมิน</t>
  </si>
  <si>
    <t>Feature-based (man-day × rate ต่อ function)</t>
  </si>
  <si>
    <t>แยกราคาตาม module ที่ส่งมอบได้</t>
  </si>
  <si>
    <t>Feature-Based Estimation — ราคาแยกตาม Function (Custom Development)</t>
  </si>
  <si>
    <t>#</t>
  </si>
  <si>
    <t>Function / Module</t>
  </si>
  <si>
    <t>กลุ่ม</t>
  </si>
  <si>
    <t>Man-days</t>
  </si>
  <si>
    <t>ความซับซ้อน</t>
  </si>
  <si>
    <t>ราคา (THB)</t>
  </si>
  <si>
    <t>เทียบ SaaS ในตลาด</t>
  </si>
  <si>
    <t>ระบบ Login / Session (JWT + rate limit)</t>
  </si>
  <si>
    <t>Backend+FE</t>
  </si>
  <si>
    <t>กลาง</t>
  </si>
  <si>
    <t>มีในทุก SaaS</t>
  </si>
  <si>
    <t>RBAC 3 ระดับ + per-user page access</t>
  </si>
  <si>
    <t>สูง</t>
  </si>
  <si>
    <t>Jira/Monday (เฉพาะ Enterprise)</t>
  </si>
  <si>
    <t>Project CRUD + Derived Status pipeline</t>
  </si>
  <si>
    <t>Jira/Monday/Asana core</t>
  </si>
  <si>
    <t>Process Checklist + Template generator</t>
  </si>
  <si>
    <t>ไม่มีใน SaaS (custom)</t>
  </si>
  <si>
    <t>Task Management (checklist)</t>
  </si>
  <si>
    <t>Comments + Activity log</t>
  </si>
  <si>
    <t>ต่ำ</t>
  </si>
  <si>
    <t>Auxiliary Records (BOM/MOM/Survey/Verification/Exception)</t>
  </si>
  <si>
    <t>BOM Global inventory + Saved BOM lists</t>
  </si>
  <si>
    <t>Overview KPI + Charts (funnel/fiscal/donut)</t>
  </si>
  <si>
    <t>Jira/Monday dashboards</t>
  </si>
  <si>
    <t>Executive single-project Dashboard report</t>
  </si>
  <si>
    <t>Frontend</t>
  </si>
  <si>
    <t>บางส่วน (custom report)</t>
  </si>
  <si>
    <t>Summaries Estimation pipeline (grade/gauge/radar)</t>
  </si>
  <si>
    <t>Pipeline + PM Cards boards (Kanban)</t>
  </si>
  <si>
    <t>Table view (sort/filter/search)</t>
  </si>
  <si>
    <t>Export/Import engine (Excel/PDF/CSV + Thai font + preview)</t>
  </si>
  <si>
    <t>บางส่วน (มัก premium)</t>
  </si>
  <si>
    <t>Google Sheets sync</t>
  </si>
  <si>
    <t>Backend</t>
  </si>
  <si>
    <t>Integration add-on</t>
  </si>
  <si>
    <t>Core infra (app factory/config/errors/validation/API client)</t>
  </si>
  <si>
    <t>N/A (platform)</t>
  </si>
  <si>
    <t>Automated test suite (61 backend + Playwright e2e)</t>
  </si>
  <si>
    <t>QA</t>
  </si>
  <si>
    <t>N/A</t>
  </si>
  <si>
    <t>Deployment / CI (Cloudflare worker + GitHub Actions)</t>
  </si>
  <si>
    <t>DevOps</t>
  </si>
  <si>
    <t>Dev subtotal (188 man-days × 9,000)</t>
  </si>
  <si>
    <t>PM / Overhead 15%</t>
  </si>
  <si>
    <t>TOTAL — ราค่าพัฒนา custom (blended)</t>
  </si>
  <si>
    <t>Scenario ต่ำ (7,000/วัน)</t>
  </si>
  <si>
    <t>Scenario สูง (12,000/วัน)</t>
  </si>
  <si>
    <t>Custom Build (จ่ายครั้งเดียว เป็นเจ้าของ) เทียบ SaaS (เช่ารายปี)</t>
  </si>
  <si>
    <t>ทางเลือก</t>
  </si>
  <si>
    <t>ต้นทุน</t>
  </si>
  <si>
    <t>รูปแบบ</t>
  </si>
  <si>
    <t>ครอบคลุมงาน SCADA/BOM/MOM?</t>
  </si>
  <si>
    <t>Custom build (repo นี้)</t>
  </si>
  <si>
    <t>จ่ายครั้งเดียว + เป็นเจ้าของ code</t>
  </si>
  <si>
    <t>ครบ (สร้างตรงงาน)</t>
  </si>
  <si>
    <t>Monday.com Standard ×20</t>
  </si>
  <si>
    <t>รายปี (ต่อเนื่อง)</t>
  </si>
  <si>
    <t>ไม่มี BOM/MOM/process checklist</t>
  </si>
  <si>
    <t>Asana Advanced ×20</t>
  </si>
  <si>
    <t>Jira Standard ×20</t>
  </si>
  <si>
    <t>หมายเหตุ: SaaS ถูกกว่าตอนเริ่ม แต่เป็นค่าเช่าต่อเนื่อง — ถ้าเทียบ Monday.com จุดคุ้มทุน ≈ 19.3 ปี</t>
  </si>
  <si>
    <t>และ SaaS ไม่มีโมดูลเฉพาะทาง (BOM/MOM/Survey/Verification/Process checklist/Summaries) — ต้องทำ custom อยู่ดี</t>
  </si>
  <si>
    <t>แหล่งอ้างอิงราคา (Reference Links)</t>
  </si>
  <si>
    <t>ราคา SaaS = per-user/เดือน billed annually · แปลง 35 บาท/USD · เทียบที่ 20 users</t>
  </si>
  <si>
    <t>SaaS pricing (หน้าเว็บทางการ)</t>
  </si>
  <si>
    <t>Monday.com — pricing (Standard $12/seat/เดือน, ขั้นต่ำ 3 seats)</t>
  </si>
  <si>
    <t>https://monday.com/pricing</t>
  </si>
  <si>
    <t>Monday.com Support — Plans and pricing</t>
  </si>
  <si>
    <t>https://support.monday.com/hc/en-us/articles/4405633151634-Plans-and-pricing-for-monday-com</t>
  </si>
  <si>
    <t>Atlassian Jira — pricing (Standard $7.91 / Premium $14.54 ต่อ user/เดือน)</t>
  </si>
  <si>
    <t>https://www.atlassian.com/software/jira/pricing</t>
  </si>
  <si>
    <t>Asana — pricing (Starter $10.99 / Advanced $24.99 ต่อ user/เดือน)</t>
  </si>
  <si>
    <t>https://asana.com/pricing</t>
  </si>
  <si>
    <t>Asana Help — pricing and purchases explained</t>
  </si>
  <si>
    <t>https://help.asana.com/s/article/pricing-and-purchases?language=en_US</t>
  </si>
  <si>
    <t>เรตพัฒนา / man-day ตลาดไทย</t>
  </si>
  <si>
    <t>Second Talent — Thailand Developer Rate Card 2026</t>
  </si>
  <si>
    <t>https://www.secondtalent.com/developer-rate-card/thailand/</t>
  </si>
  <si>
    <t>JobsDB — เงินเดือน Software Developer ไทย</t>
  </si>
  <si>
    <t>https://th.jobsdb.com/career-advice/role/software-developer/salary</t>
  </si>
  <si>
    <t>Lemon.io — Thailand developer hourly rate</t>
  </si>
  <si>
    <t>https://lemon.io/rate-calculator/thailand/</t>
  </si>
  <si>
    <t>ISM Tech — รายงานอัตราเงินเดือนสายไอที</t>
  </si>
  <si>
    <t>https://www.ismtech.net/it-salary-report/</t>
  </si>
  <si>
    <t>Talance — วิธีคิดค่าตอบแทนรายชั่วโมง (man-hour)</t>
  </si>
  <si>
    <t>https://www.talance.tech/blog/ค่าตอบแทน-income-per-hours/</t>
  </si>
  <si>
    <t>แหล่งเทียบราคา SaaS (secondary / ไขว้ตรวจ)</t>
  </si>
  <si>
    <t>Costbench — Jira pricing 2026</t>
  </si>
  <si>
    <t>https://costbench.com/software/project-management/jira/</t>
  </si>
  <si>
    <t>Costbench — Monday.com pricing 2026</t>
  </si>
  <si>
    <t>https://costbench.com/software/project-management/monday/</t>
  </si>
  <si>
    <t>SaaSCRMReview — Asana pricing 2026</t>
  </si>
  <si>
    <t>https://saascrmreview.com/asana-pricing/</t>
  </si>
  <si>
    <t>Monday blog — Asana vs Jira 2026</t>
  </si>
  <si>
    <t>https://monday.com/blog/rnd/asana-or-jira-which-is-right-for-your-team/</t>
  </si>
  <si>
    <t>Function</t>
  </si>
  <si>
    <t>THB</t>
  </si>
  <si>
    <t xml:space="preserve">ระบบ Login / Session (JWT + </t>
  </si>
  <si>
    <t>RBAC 3 ระดับ + per-user page</t>
  </si>
  <si>
    <t>Project CRUD + Derived Statu</t>
  </si>
  <si>
    <t>Process Checklist + Template</t>
  </si>
  <si>
    <t>Auxiliary Records (BOM/MOM/S</t>
  </si>
  <si>
    <t>BOM Global inventory + Saved</t>
  </si>
  <si>
    <t>Overview KPI + Charts (funne</t>
  </si>
  <si>
    <t>Executive single-project Das</t>
  </si>
  <si>
    <t>Summaries Estimation pipelin</t>
  </si>
  <si>
    <t>Pipeline + PM Cards boards (</t>
  </si>
  <si>
    <t>Table view (sort/filter/sear</t>
  </si>
  <si>
    <t>Export/Import engine (Excel/</t>
  </si>
  <si>
    <t>Core infra (app factory/conf</t>
  </si>
  <si>
    <t>Automated test suite (61 bac</t>
  </si>
  <si>
    <t xml:space="preserve">Deployment / CI (Cloudflare </t>
  </si>
  <si>
    <t>Category:</t>
  </si>
  <si>
    <t>Type:</t>
  </si>
  <si>
    <t>PC</t>
  </si>
  <si>
    <t>PLC</t>
  </si>
  <si>
    <t>Camera</t>
  </si>
  <si>
    <t>Lens</t>
  </si>
  <si>
    <t>Sensor</t>
  </si>
  <si>
    <t>Cable</t>
  </si>
  <si>
    <t>Lighting</t>
  </si>
  <si>
    <t>Server</t>
  </si>
  <si>
    <t>Firewall</t>
  </si>
  <si>
    <t>UPS</t>
  </si>
  <si>
    <t>Ethernet switch</t>
  </si>
  <si>
    <t>Monitor screen</t>
  </si>
  <si>
    <t>Accessory</t>
  </si>
  <si>
    <t>ETC.</t>
  </si>
  <si>
    <t>IQF, IQR</t>
  </si>
  <si>
    <t>industrial, smart, reader</t>
  </si>
  <si>
    <t>reader</t>
  </si>
  <si>
    <t>smart</t>
  </si>
  <si>
    <t>i3, i5, i7, i9</t>
  </si>
  <si>
    <t>Amount, Fmount, normal mounting</t>
  </si>
  <si>
    <t>diffuse, photo ,throughbeam,proximity, temp, laser,torque</t>
  </si>
  <si>
    <t>COMM, I/O power</t>
  </si>
  <si>
    <t>Rack, Tower</t>
  </si>
  <si>
    <t>3K ,6K ,10K</t>
  </si>
  <si>
    <t>8,16,24</t>
  </si>
  <si>
    <t>HMI, monitor</t>
  </si>
  <si>
    <t>Bar, Ring , Dome, UV</t>
  </si>
  <si>
    <t>id</t>
  </si>
  <si>
    <t>sup_name</t>
  </si>
  <si>
    <t>description</t>
  </si>
  <si>
    <t>address</t>
  </si>
  <si>
    <t>tax_id</t>
  </si>
  <si>
    <t>telephone</t>
  </si>
  <si>
    <t>mobile</t>
  </si>
  <si>
    <t>email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</si>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</sst>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฿&quot;"/>
  </numFmts>
  <fonts count="23" x14ac:knownFonts="1">
    <font>
      <sz val="11"/>
      <color theme="1"/>
      <name val="Calibri"/>
      <family val="2"/>
      <scheme val="minor"/>
    </font>
    <font>
      <b/>
      <sz val="15"/>
      <color rgb="FF1F3A5F"/>
      <name val="Tahoma"/>
    </font>
    <font>
      <sz val="10"/>
      <color rgb="FF666666"/>
      <name val="Tahoma"/>
    </font>
    <font>
      <b/>
      <sz val="11"/>
      <color rgb="FF1F3A5F"/>
      <name val="Tahoma"/>
    </font>
    <font>
      <b/>
      <sz val="11"/>
      <color rgb="FF2E86AB"/>
      <name val="Tahoma"/>
    </font>
    <font>
      <sz val="9"/>
      <color rgb="FF777777"/>
      <name val="Tahoma"/>
    </font>
    <font>
      <b/>
      <sz val="14"/>
      <color rgb="FF1F3A5F"/>
      <name val="Tahoma"/>
    </font>
    <font>
      <b/>
      <sz val="11"/>
      <color rgb="FFFFFFFF"/>
      <name val="Tahoma"/>
    </font>
    <font>
      <sz val="10"/>
      <name val="Tahoma"/>
    </font>
    <font>
      <b/>
      <sz val="10"/>
      <color rgb="FF2E86AB"/>
      <name val="Tahoma"/>
    </font>
    <font>
      <sz val="9"/>
      <color rgb="FF444444"/>
      <name val="Tahoma"/>
    </font>
    <font>
      <sz val="9"/>
      <color rgb="FFC0392B"/>
      <name val="Tahoma"/>
    </font>
    <font>
      <b/>
      <sz val="11"/>
      <color rgb="FF1F3A5F"/>
      <name val="Tahoma"/>
    </font>
    <font>
      <b/>
      <sz val="11"/>
      <color rgb="FFB08D2E"/>
      <name val="Tahoma"/>
    </font>
    <font>
      <b/>
      <sz val="11"/>
      <color rgb="FF1E8449"/>
      <name val="Tahoma"/>
    </font>
    <font>
      <b/>
      <sz val="11"/>
      <color rgb="FFC0392B"/>
      <name val="Tahoma"/>
    </font>
    <font>
      <b/>
      <sz val="13"/>
      <color rgb="FF1F3A5F"/>
      <name val="Tahoma"/>
    </font>
    <font>
      <b/>
      <sz val="10"/>
      <color rgb="FF1F3A5F"/>
      <name val="Tahoma"/>
    </font>
    <font>
      <i/>
      <sz val="10"/>
      <color rgb="FF555555"/>
      <name val="Tahoma"/>
    </font>
    <font>
      <i/>
      <sz val="10"/>
      <color rgb="FFC0392B"/>
      <name val="Tahoma"/>
    </font>
    <font>
      <b/>
      <sz val="11"/>
      <color rgb="FFFFFFFF"/>
      <name val="Tahoma"/>
    </font>
    <font>
      <sz val="10"/>
      <color rgb="FF1F3A5F"/>
      <name val="Tahoma"/>
    </font>
    <font>
      <u/>
      <sz val="10"/>
      <color rgb="FF0563C1"/>
      <name val="Tahoma"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AF1F7"/>
      </patternFill>
    </fill>
    <fill>
      <patternFill patternType="solid">
        <fgColor rgb="FF2E86AB"/>
      </patternFill>
    </fill>
    <fill>
      <patternFill patternType="solid">
        <fgColor rgb="FFFFF6E6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/>
    <xf numFmtId="164" fontId="9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/>
    <xf numFmtId="0" fontId="10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164" fontId="12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164" fontId="15" fillId="0" borderId="0" xfId="0" applyNumberFormat="1" applyFont="1" applyAlignment="1">
      <alignment horizontal="right"/>
    </xf>
    <xf numFmtId="0" fontId="7" fillId="4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vertical="center" wrapText="1"/>
    </xf>
    <xf numFmtId="164" fontId="17" fillId="5" borderId="1" xfId="0" applyNumberFormat="1" applyFont="1" applyFill="1" applyBorder="1" applyAlignment="1">
      <alignment horizontal="right"/>
    </xf>
    <xf numFmtId="164" fontId="17" fillId="0" borderId="1" xfId="0" applyNumberFormat="1" applyFont="1" applyBorder="1" applyAlignment="1">
      <alignment horizontal="right"/>
    </xf>
    <xf numFmtId="0" fontId="18" fillId="0" borderId="0" xfId="0" applyFont="1"/>
    <xf numFmtId="0" fontId="19" fillId="0" borderId="0" xfId="0" applyFont="1"/>
    <xf numFmtId="0" fontId="21" fillId="0" borderId="0" xfId="0" applyFont="1"/>
    <xf numFmtId="0" fontId="22" fillId="0" borderId="0" xfId="0" applyFont="1"/>
    <xf numFmtId="3" fontId="0" fillId="0" borderId="0" xfId="0" applyNumberFormat="1"/>
    <xf numFmtId="0" fontId="14" fillId="0" borderId="0" xfId="0" applyFont="1"/>
    <xf numFmtId="0" fontId="0" fillId="0" borderId="0" xfId="0"/>
    <xf numFmtId="0" fontId="15" fillId="0" borderId="0" xfId="0" applyFont="1"/>
    <xf numFmtId="0" fontId="12" fillId="0" borderId="0" xfId="0" applyFont="1"/>
    <xf numFmtId="0" fontId="6" fillId="0" borderId="0" xfId="0" applyFont="1"/>
    <xf numFmtId="0" fontId="13" fillId="0" borderId="0" xfId="0" applyFont="1"/>
    <xf numFmtId="0" fontId="16" fillId="0" borderId="0" xfId="0" applyFont="1"/>
    <xf numFmtId="0" fontId="20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ราคาแยกตาม </a:t>
            </a:r>
            <a:r>
              <a:rPr lang="en-US"/>
              <a:t>Function (THB)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_chartdata!$B$1</c:f>
              <c:strCache>
                <c:ptCount val="1"/>
                <c:pt idx="0">
                  <c:v>THB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_chartdata!$A$2:$A$19</c:f>
              <c:strCache>
                <c:ptCount val="18"/>
                <c:pt idx="0">
                  <c:v>ระบบ Login / Session (JWT + </c:v>
                </c:pt>
                <c:pt idx="1">
                  <c:v>RBAC 3 ระดับ + per-user page</c:v>
                </c:pt>
                <c:pt idx="2">
                  <c:v>Project CRUD + Derived Statu</c:v>
                </c:pt>
                <c:pt idx="3">
                  <c:v>Process Checklist + Template</c:v>
                </c:pt>
                <c:pt idx="4">
                  <c:v>Task Management (checklist)</c:v>
                </c:pt>
                <c:pt idx="5">
                  <c:v>Comments + Activity log</c:v>
                </c:pt>
                <c:pt idx="6">
                  <c:v>Auxiliary Records (BOM/MOM/S</c:v>
                </c:pt>
                <c:pt idx="7">
                  <c:v>BOM Global inventory + Saved</c:v>
                </c:pt>
                <c:pt idx="8">
                  <c:v>Overview KPI + Charts (funne</c:v>
                </c:pt>
                <c:pt idx="9">
                  <c:v>Executive single-project Das</c:v>
                </c:pt>
                <c:pt idx="10">
                  <c:v>Summaries Estimation pipelin</c:v>
                </c:pt>
                <c:pt idx="11">
                  <c:v>Pipeline + PM Cards boards (</c:v>
                </c:pt>
                <c:pt idx="12">
                  <c:v>Table view (sort/filter/sear</c:v>
                </c:pt>
                <c:pt idx="13">
                  <c:v>Export/Import engine (Excel/</c:v>
                </c:pt>
                <c:pt idx="14">
                  <c:v>Google Sheets sync</c:v>
                </c:pt>
                <c:pt idx="15">
                  <c:v>Core infra (app factory/conf</c:v>
                </c:pt>
                <c:pt idx="16">
                  <c:v>Automated test suite (61 bac</c:v>
                </c:pt>
                <c:pt idx="17">
                  <c:v>Deployment / CI (Cloudflare </c:v>
                </c:pt>
              </c:strCache>
            </c:strRef>
          </c:cat>
          <c:val>
            <c:numRef>
              <c:f>_chartdata!$B$2:$B$19</c:f>
              <c:numCache>
                <c:formatCode>General</c:formatCode>
                <c:ptCount val="18"/>
                <c:pt idx="0">
                  <c:v>72000</c:v>
                </c:pt>
                <c:pt idx="1">
                  <c:v>108000</c:v>
                </c:pt>
                <c:pt idx="2">
                  <c:v>126000</c:v>
                </c:pt>
                <c:pt idx="3">
                  <c:v>108000</c:v>
                </c:pt>
                <c:pt idx="4">
                  <c:v>54000</c:v>
                </c:pt>
                <c:pt idx="5">
                  <c:v>45000</c:v>
                </c:pt>
                <c:pt idx="6">
                  <c:v>144000</c:v>
                </c:pt>
                <c:pt idx="7">
                  <c:v>108000</c:v>
                </c:pt>
                <c:pt idx="8">
                  <c:v>108000</c:v>
                </c:pt>
                <c:pt idx="9">
                  <c:v>126000</c:v>
                </c:pt>
                <c:pt idx="10">
                  <c:v>108000</c:v>
                </c:pt>
                <c:pt idx="11">
                  <c:v>63000</c:v>
                </c:pt>
                <c:pt idx="12">
                  <c:v>72000</c:v>
                </c:pt>
                <c:pt idx="13">
                  <c:v>126000</c:v>
                </c:pt>
                <c:pt idx="14">
                  <c:v>54000</c:v>
                </c:pt>
                <c:pt idx="15">
                  <c:v>108000</c:v>
                </c:pt>
                <c:pt idx="16">
                  <c:v>108000</c:v>
                </c:pt>
                <c:pt idx="17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B-4F3D-BB7A-0651F6BB5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lemon.io/rate-calculator/thailand/" TargetMode="External"/><Relationship Id="rId13" Type="http://schemas.openxmlformats.org/officeDocument/2006/relationships/hyperlink" Target="https://saascrmreview.com/asana-pricing/" TargetMode="External"/><Relationship Id="rId3" Type="http://schemas.openxmlformats.org/officeDocument/2006/relationships/hyperlink" Target="https://www.atlassian.com/software/jira/pricing" TargetMode="External"/><Relationship Id="rId7" Type="http://schemas.openxmlformats.org/officeDocument/2006/relationships/hyperlink" Target="https://th.jobsdb.com/career-advice/role/software-developer/salary" TargetMode="External"/><Relationship Id="rId12" Type="http://schemas.openxmlformats.org/officeDocument/2006/relationships/hyperlink" Target="https://costbench.com/software/project-management/monday/" TargetMode="External"/><Relationship Id="rId2" Type="http://schemas.openxmlformats.org/officeDocument/2006/relationships/hyperlink" Target="https://support.monday.com/hc/en-us/articles/4405633151634-Plans-and-pricing-for-monday-com" TargetMode="External"/><Relationship Id="rId1" Type="http://schemas.openxmlformats.org/officeDocument/2006/relationships/hyperlink" Target="https://monday.com/pricing" TargetMode="External"/><Relationship Id="rId6" Type="http://schemas.openxmlformats.org/officeDocument/2006/relationships/hyperlink" Target="https://www.secondtalent.com/developer-rate-card/thailand/" TargetMode="External"/><Relationship Id="rId11" Type="http://schemas.openxmlformats.org/officeDocument/2006/relationships/hyperlink" Target="https://costbench.com/software/project-management/jira/" TargetMode="External"/><Relationship Id="rId5" Type="http://schemas.openxmlformats.org/officeDocument/2006/relationships/hyperlink" Target="https://help.asana.com/s/article/pricing-and-purchases?language=en_US" TargetMode="External"/><Relationship Id="rId10" Type="http://schemas.openxmlformats.org/officeDocument/2006/relationships/hyperlink" Target="https://www.talance.tech/blog/&#3588;&#3656;&#3634;&#3605;&#3629;&#3610;&#3649;&#3607;&#3609;-income-per-hours/" TargetMode="External"/><Relationship Id="rId4" Type="http://schemas.openxmlformats.org/officeDocument/2006/relationships/hyperlink" Target="https://asana.com/pricing" TargetMode="External"/><Relationship Id="rId9" Type="http://schemas.openxmlformats.org/officeDocument/2006/relationships/hyperlink" Target="https://www.ismtech.net/it-salary-report/" TargetMode="External"/><Relationship Id="rId14" Type="http://schemas.openxmlformats.org/officeDocument/2006/relationships/hyperlink" Target="https://monday.com/blog/rnd/asana-or-jira-which-is-right-for-your-tea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1"/>
  <sheetViews>
    <sheetView showGridLines="0" workbookViewId="0"/>
  </sheetViews>
  <sheetFormatPr defaultRowHeight="14.4" x14ac:dyDescent="0.3"/>
  <cols>
    <col min="2" max="2" width="30" customWidth="1"/>
    <col min="3" max="3" width="34" customWidth="1"/>
    <col min="4" max="4" width="2" customWidth="1"/>
    <col min="5" max="5" width="48" customWidth="1"/>
  </cols>
  <sheetData>
    <row r="2" spans="2:5" ht="18.600000000000001" x14ac:dyDescent="0.3">
      <c r="B2" s="1" t="s">
        <v>0</v>
      </c>
    </row>
    <row r="3" spans="2:5" x14ac:dyDescent="0.3">
      <c r="B3" s="2" t="s">
        <v>1</v>
      </c>
    </row>
    <row r="5" spans="2:5" x14ac:dyDescent="0.3">
      <c r="B5" s="3" t="s">
        <v>2</v>
      </c>
      <c r="C5" s="4" t="s">
        <v>3</v>
      </c>
      <c r="E5" s="5" t="s">
        <v>4</v>
      </c>
    </row>
    <row r="6" spans="2:5" x14ac:dyDescent="0.3">
      <c r="B6" s="3" t="s">
        <v>5</v>
      </c>
      <c r="C6" s="4" t="s">
        <v>6</v>
      </c>
      <c r="E6" s="5" t="s">
        <v>7</v>
      </c>
    </row>
    <row r="7" spans="2:5" x14ac:dyDescent="0.3">
      <c r="B7" s="3" t="s">
        <v>8</v>
      </c>
      <c r="C7" s="4" t="s">
        <v>9</v>
      </c>
      <c r="E7" s="5" t="s">
        <v>10</v>
      </c>
    </row>
    <row r="8" spans="2:5" x14ac:dyDescent="0.3">
      <c r="B8" s="3" t="s">
        <v>11</v>
      </c>
      <c r="C8" s="4" t="s">
        <v>12</v>
      </c>
      <c r="E8" s="5" t="s">
        <v>13</v>
      </c>
    </row>
    <row r="9" spans="2:5" x14ac:dyDescent="0.3">
      <c r="B9" s="3" t="s">
        <v>14</v>
      </c>
      <c r="C9" s="4" t="s">
        <v>15</v>
      </c>
      <c r="E9" s="5" t="s">
        <v>16</v>
      </c>
    </row>
    <row r="10" spans="2:5" x14ac:dyDescent="0.3">
      <c r="B10" s="3" t="s">
        <v>17</v>
      </c>
      <c r="C10" s="4" t="s">
        <v>18</v>
      </c>
      <c r="E10" s="5" t="s">
        <v>19</v>
      </c>
    </row>
    <row r="11" spans="2:5" x14ac:dyDescent="0.3">
      <c r="B11" s="3" t="s">
        <v>20</v>
      </c>
      <c r="C11" s="4" t="s">
        <v>21</v>
      </c>
      <c r="E11" s="5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5" customWidth="1"/>
    <col min="2" max="2" width="42" customWidth="1"/>
    <col min="3" max="3" width="12" customWidth="1"/>
    <col min="4" max="4" width="10" customWidth="1"/>
    <col min="5" max="5" width="13" customWidth="1"/>
    <col min="6" max="6" width="16" customWidth="1"/>
    <col min="7" max="7" width="40" customWidth="1"/>
  </cols>
  <sheetData>
    <row r="1" spans="1:7" ht="17.399999999999999" x14ac:dyDescent="0.3">
      <c r="A1" s="36" t="s">
        <v>23</v>
      </c>
      <c r="B1" s="33"/>
      <c r="C1" s="33"/>
      <c r="D1" s="33"/>
      <c r="E1" s="33"/>
      <c r="F1" s="33"/>
      <c r="G1" s="33"/>
    </row>
    <row r="3" spans="1:7" ht="27.6" x14ac:dyDescent="0.3">
      <c r="A3" s="7" t="s">
        <v>24</v>
      </c>
      <c r="B3" s="7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</row>
    <row r="4" spans="1:7" x14ac:dyDescent="0.3">
      <c r="A4" s="8">
        <v>1</v>
      </c>
      <c r="B4" s="9" t="s">
        <v>31</v>
      </c>
      <c r="C4" s="10" t="s">
        <v>32</v>
      </c>
      <c r="D4" s="8">
        <v>8</v>
      </c>
      <c r="E4" s="8" t="s">
        <v>33</v>
      </c>
      <c r="F4" s="11">
        <v>72000</v>
      </c>
      <c r="G4" s="12" t="s">
        <v>34</v>
      </c>
    </row>
    <row r="5" spans="1:7" x14ac:dyDescent="0.3">
      <c r="A5" s="13">
        <v>2</v>
      </c>
      <c r="B5" s="14" t="s">
        <v>35</v>
      </c>
      <c r="C5" s="15" t="s">
        <v>32</v>
      </c>
      <c r="D5" s="13">
        <v>12</v>
      </c>
      <c r="E5" s="13" t="s">
        <v>36</v>
      </c>
      <c r="F5" s="11">
        <v>108000</v>
      </c>
      <c r="G5" s="16" t="s">
        <v>37</v>
      </c>
    </row>
    <row r="6" spans="1:7" x14ac:dyDescent="0.3">
      <c r="A6" s="8">
        <v>3</v>
      </c>
      <c r="B6" s="9" t="s">
        <v>38</v>
      </c>
      <c r="C6" s="10" t="s">
        <v>32</v>
      </c>
      <c r="D6" s="8">
        <v>14</v>
      </c>
      <c r="E6" s="8" t="s">
        <v>36</v>
      </c>
      <c r="F6" s="11">
        <v>126000</v>
      </c>
      <c r="G6" s="12" t="s">
        <v>39</v>
      </c>
    </row>
    <row r="7" spans="1:7" x14ac:dyDescent="0.3">
      <c r="A7" s="13">
        <v>4</v>
      </c>
      <c r="B7" s="14" t="s">
        <v>40</v>
      </c>
      <c r="C7" s="15" t="s">
        <v>32</v>
      </c>
      <c r="D7" s="13">
        <v>12</v>
      </c>
      <c r="E7" s="13" t="s">
        <v>36</v>
      </c>
      <c r="F7" s="11">
        <v>108000</v>
      </c>
      <c r="G7" s="17" t="s">
        <v>41</v>
      </c>
    </row>
    <row r="8" spans="1:7" x14ac:dyDescent="0.3">
      <c r="A8" s="8">
        <v>5</v>
      </c>
      <c r="B8" s="9" t="s">
        <v>42</v>
      </c>
      <c r="C8" s="10" t="s">
        <v>32</v>
      </c>
      <c r="D8" s="8">
        <v>6</v>
      </c>
      <c r="E8" s="8" t="s">
        <v>33</v>
      </c>
      <c r="F8" s="11">
        <v>54000</v>
      </c>
      <c r="G8" s="12" t="s">
        <v>34</v>
      </c>
    </row>
    <row r="9" spans="1:7" x14ac:dyDescent="0.3">
      <c r="A9" s="13">
        <v>6</v>
      </c>
      <c r="B9" s="14" t="s">
        <v>43</v>
      </c>
      <c r="C9" s="15" t="s">
        <v>32</v>
      </c>
      <c r="D9" s="13">
        <v>5</v>
      </c>
      <c r="E9" s="13" t="s">
        <v>44</v>
      </c>
      <c r="F9" s="11">
        <v>45000</v>
      </c>
      <c r="G9" s="16" t="s">
        <v>34</v>
      </c>
    </row>
    <row r="10" spans="1:7" ht="26.4" x14ac:dyDescent="0.3">
      <c r="A10" s="8">
        <v>7</v>
      </c>
      <c r="B10" s="9" t="s">
        <v>45</v>
      </c>
      <c r="C10" s="10" t="s">
        <v>32</v>
      </c>
      <c r="D10" s="8">
        <v>16</v>
      </c>
      <c r="E10" s="8" t="s">
        <v>36</v>
      </c>
      <c r="F10" s="11">
        <v>144000</v>
      </c>
      <c r="G10" s="18" t="s">
        <v>41</v>
      </c>
    </row>
    <row r="11" spans="1:7" x14ac:dyDescent="0.3">
      <c r="A11" s="13">
        <v>8</v>
      </c>
      <c r="B11" s="14" t="s">
        <v>46</v>
      </c>
      <c r="C11" s="15" t="s">
        <v>32</v>
      </c>
      <c r="D11" s="13">
        <v>12</v>
      </c>
      <c r="E11" s="13" t="s">
        <v>36</v>
      </c>
      <c r="F11" s="11">
        <v>108000</v>
      </c>
      <c r="G11" s="17" t="s">
        <v>41</v>
      </c>
    </row>
    <row r="12" spans="1:7" x14ac:dyDescent="0.3">
      <c r="A12" s="8">
        <v>9</v>
      </c>
      <c r="B12" s="9" t="s">
        <v>47</v>
      </c>
      <c r="C12" s="10" t="s">
        <v>32</v>
      </c>
      <c r="D12" s="8">
        <v>12</v>
      </c>
      <c r="E12" s="8" t="s">
        <v>33</v>
      </c>
      <c r="F12" s="11">
        <v>108000</v>
      </c>
      <c r="G12" s="12" t="s">
        <v>48</v>
      </c>
    </row>
    <row r="13" spans="1:7" x14ac:dyDescent="0.3">
      <c r="A13" s="13">
        <v>10</v>
      </c>
      <c r="B13" s="14" t="s">
        <v>49</v>
      </c>
      <c r="C13" s="15" t="s">
        <v>50</v>
      </c>
      <c r="D13" s="13">
        <v>14</v>
      </c>
      <c r="E13" s="13" t="s">
        <v>36</v>
      </c>
      <c r="F13" s="11">
        <v>126000</v>
      </c>
      <c r="G13" s="17" t="s">
        <v>51</v>
      </c>
    </row>
    <row r="14" spans="1:7" ht="26.4" x14ac:dyDescent="0.3">
      <c r="A14" s="8">
        <v>11</v>
      </c>
      <c r="B14" s="9" t="s">
        <v>52</v>
      </c>
      <c r="C14" s="10" t="s">
        <v>50</v>
      </c>
      <c r="D14" s="8">
        <v>12</v>
      </c>
      <c r="E14" s="8" t="s">
        <v>36</v>
      </c>
      <c r="F14" s="11">
        <v>108000</v>
      </c>
      <c r="G14" s="18" t="s">
        <v>41</v>
      </c>
    </row>
    <row r="15" spans="1:7" x14ac:dyDescent="0.3">
      <c r="A15" s="13">
        <v>12</v>
      </c>
      <c r="B15" s="14" t="s">
        <v>53</v>
      </c>
      <c r="C15" s="15" t="s">
        <v>50</v>
      </c>
      <c r="D15" s="13">
        <v>7</v>
      </c>
      <c r="E15" s="13" t="s">
        <v>33</v>
      </c>
      <c r="F15" s="11">
        <v>63000</v>
      </c>
      <c r="G15" s="16" t="s">
        <v>34</v>
      </c>
    </row>
    <row r="16" spans="1:7" x14ac:dyDescent="0.3">
      <c r="A16" s="8">
        <v>13</v>
      </c>
      <c r="B16" s="9" t="s">
        <v>54</v>
      </c>
      <c r="C16" s="10" t="s">
        <v>50</v>
      </c>
      <c r="D16" s="8">
        <v>8</v>
      </c>
      <c r="E16" s="8" t="s">
        <v>33</v>
      </c>
      <c r="F16" s="11">
        <v>72000</v>
      </c>
      <c r="G16" s="12" t="s">
        <v>34</v>
      </c>
    </row>
    <row r="17" spans="1:7" ht="26.4" x14ac:dyDescent="0.3">
      <c r="A17" s="13">
        <v>14</v>
      </c>
      <c r="B17" s="14" t="s">
        <v>55</v>
      </c>
      <c r="C17" s="15" t="s">
        <v>50</v>
      </c>
      <c r="D17" s="13">
        <v>14</v>
      </c>
      <c r="E17" s="13" t="s">
        <v>36</v>
      </c>
      <c r="F17" s="11">
        <v>126000</v>
      </c>
      <c r="G17" s="17" t="s">
        <v>56</v>
      </c>
    </row>
    <row r="18" spans="1:7" x14ac:dyDescent="0.3">
      <c r="A18" s="8">
        <v>15</v>
      </c>
      <c r="B18" s="9" t="s">
        <v>57</v>
      </c>
      <c r="C18" s="10" t="s">
        <v>58</v>
      </c>
      <c r="D18" s="8">
        <v>6</v>
      </c>
      <c r="E18" s="8" t="s">
        <v>33</v>
      </c>
      <c r="F18" s="11">
        <v>54000</v>
      </c>
      <c r="G18" s="12" t="s">
        <v>59</v>
      </c>
    </row>
    <row r="19" spans="1:7" ht="26.4" x14ac:dyDescent="0.3">
      <c r="A19" s="13">
        <v>16</v>
      </c>
      <c r="B19" s="14" t="s">
        <v>60</v>
      </c>
      <c r="C19" s="15" t="s">
        <v>32</v>
      </c>
      <c r="D19" s="13">
        <v>12</v>
      </c>
      <c r="E19" s="13" t="s">
        <v>33</v>
      </c>
      <c r="F19" s="11">
        <v>108000</v>
      </c>
      <c r="G19" s="17" t="s">
        <v>61</v>
      </c>
    </row>
    <row r="20" spans="1:7" ht="26.4" x14ac:dyDescent="0.3">
      <c r="A20" s="8">
        <v>17</v>
      </c>
      <c r="B20" s="9" t="s">
        <v>62</v>
      </c>
      <c r="C20" s="10" t="s">
        <v>63</v>
      </c>
      <c r="D20" s="8">
        <v>12</v>
      </c>
      <c r="E20" s="8" t="s">
        <v>33</v>
      </c>
      <c r="F20" s="11">
        <v>108000</v>
      </c>
      <c r="G20" s="18" t="s">
        <v>64</v>
      </c>
    </row>
    <row r="21" spans="1:7" ht="26.4" x14ac:dyDescent="0.3">
      <c r="A21" s="13">
        <v>18</v>
      </c>
      <c r="B21" s="14" t="s">
        <v>65</v>
      </c>
      <c r="C21" s="15" t="s">
        <v>66</v>
      </c>
      <c r="D21" s="13">
        <v>6</v>
      </c>
      <c r="E21" s="13" t="s">
        <v>33</v>
      </c>
      <c r="F21" s="11">
        <v>54000</v>
      </c>
      <c r="G21" s="17" t="s">
        <v>64</v>
      </c>
    </row>
    <row r="23" spans="1:7" x14ac:dyDescent="0.3">
      <c r="B23" s="35" t="s">
        <v>67</v>
      </c>
      <c r="C23" s="33"/>
      <c r="D23" s="33"/>
      <c r="E23" s="33"/>
      <c r="F23" s="19">
        <v>1692000</v>
      </c>
    </row>
    <row r="24" spans="1:7" x14ac:dyDescent="0.3">
      <c r="B24" s="35" t="s">
        <v>68</v>
      </c>
      <c r="C24" s="33"/>
      <c r="D24" s="33"/>
      <c r="E24" s="33"/>
      <c r="F24" s="19">
        <v>253800</v>
      </c>
    </row>
    <row r="25" spans="1:7" x14ac:dyDescent="0.3">
      <c r="B25" s="37" t="s">
        <v>69</v>
      </c>
      <c r="C25" s="33"/>
      <c r="D25" s="33"/>
      <c r="E25" s="33"/>
      <c r="F25" s="20">
        <v>1945800</v>
      </c>
    </row>
    <row r="26" spans="1:7" x14ac:dyDescent="0.3">
      <c r="B26" s="32" t="s">
        <v>70</v>
      </c>
      <c r="C26" s="33"/>
      <c r="D26" s="33"/>
      <c r="E26" s="33"/>
      <c r="F26" s="21">
        <v>1513400</v>
      </c>
    </row>
    <row r="27" spans="1:7" x14ac:dyDescent="0.3">
      <c r="B27" s="34" t="s">
        <v>71</v>
      </c>
      <c r="C27" s="33"/>
      <c r="D27" s="33"/>
      <c r="E27" s="33"/>
      <c r="F27" s="22">
        <v>2594400</v>
      </c>
    </row>
  </sheetData>
  <mergeCells count="6">
    <mergeCell ref="B26:E26"/>
    <mergeCell ref="B27:E27"/>
    <mergeCell ref="B23:E23"/>
    <mergeCell ref="A1:G1"/>
    <mergeCell ref="B25:E25"/>
    <mergeCell ref="B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2"/>
  <sheetViews>
    <sheetView showGridLines="0" workbookViewId="0">
      <selection activeCell="G9" sqref="G9"/>
    </sheetView>
  </sheetViews>
  <sheetFormatPr defaultRowHeight="14.4" x14ac:dyDescent="0.3"/>
  <cols>
    <col min="2" max="2" width="26" customWidth="1"/>
    <col min="3" max="3" width="16" customWidth="1"/>
    <col min="4" max="4" width="30" customWidth="1"/>
    <col min="5" max="5" width="34" customWidth="1"/>
  </cols>
  <sheetData>
    <row r="2" spans="2:5" ht="16.8" x14ac:dyDescent="0.3">
      <c r="B2" s="38" t="s">
        <v>72</v>
      </c>
      <c r="C2" s="33"/>
      <c r="D2" s="33"/>
      <c r="E2" s="33"/>
    </row>
    <row r="4" spans="2:5" ht="28.2" x14ac:dyDescent="0.3">
      <c r="B4" s="23" t="s">
        <v>73</v>
      </c>
      <c r="C4" s="23" t="s">
        <v>74</v>
      </c>
      <c r="D4" s="23" t="s">
        <v>75</v>
      </c>
      <c r="E4" s="23" t="s">
        <v>76</v>
      </c>
    </row>
    <row r="5" spans="2:5" x14ac:dyDescent="0.3">
      <c r="B5" s="24" t="s">
        <v>77</v>
      </c>
      <c r="C5" s="25">
        <v>1945800</v>
      </c>
      <c r="D5" s="24" t="s">
        <v>78</v>
      </c>
      <c r="E5" s="24" t="s">
        <v>79</v>
      </c>
    </row>
    <row r="6" spans="2:5" x14ac:dyDescent="0.3">
      <c r="B6" s="9" t="s">
        <v>80</v>
      </c>
      <c r="C6" s="26">
        <v>100800</v>
      </c>
      <c r="D6" s="9" t="s">
        <v>81</v>
      </c>
      <c r="E6" s="9" t="s">
        <v>82</v>
      </c>
    </row>
    <row r="7" spans="2:5" x14ac:dyDescent="0.3">
      <c r="B7" s="9" t="s">
        <v>83</v>
      </c>
      <c r="C7" s="26">
        <v>92316</v>
      </c>
      <c r="D7" s="9" t="s">
        <v>81</v>
      </c>
      <c r="E7" s="9" t="s">
        <v>82</v>
      </c>
    </row>
    <row r="8" spans="2:5" x14ac:dyDescent="0.3">
      <c r="B8" s="9" t="s">
        <v>84</v>
      </c>
      <c r="C8" s="26">
        <v>66444</v>
      </c>
      <c r="D8" s="9" t="s">
        <v>81</v>
      </c>
      <c r="E8" s="9" t="s">
        <v>82</v>
      </c>
    </row>
    <row r="11" spans="2:5" x14ac:dyDescent="0.3">
      <c r="B11" s="27" t="s">
        <v>85</v>
      </c>
    </row>
    <row r="12" spans="2:5" x14ac:dyDescent="0.3">
      <c r="B12" s="28" t="s">
        <v>86</v>
      </c>
    </row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23"/>
  <sheetViews>
    <sheetView showGridLines="0" workbookViewId="0">
      <selection activeCell="C6" sqref="C6"/>
    </sheetView>
  </sheetViews>
  <sheetFormatPr defaultRowHeight="14.4" x14ac:dyDescent="0.3"/>
  <cols>
    <col min="2" max="2" width="63.77734375" customWidth="1"/>
    <col min="3" max="3" width="70" customWidth="1"/>
  </cols>
  <sheetData>
    <row r="2" spans="2:3" ht="17.399999999999999" x14ac:dyDescent="0.3">
      <c r="B2" s="6" t="s">
        <v>87</v>
      </c>
    </row>
    <row r="3" spans="2:3" x14ac:dyDescent="0.3">
      <c r="B3" s="5" t="s">
        <v>88</v>
      </c>
    </row>
    <row r="5" spans="2:3" x14ac:dyDescent="0.3">
      <c r="B5" s="39" t="s">
        <v>89</v>
      </c>
      <c r="C5" s="40"/>
    </row>
    <row r="6" spans="2:3" x14ac:dyDescent="0.3">
      <c r="B6" s="29" t="s">
        <v>90</v>
      </c>
      <c r="C6" s="30" t="s">
        <v>91</v>
      </c>
    </row>
    <row r="7" spans="2:3" x14ac:dyDescent="0.3">
      <c r="B7" s="29" t="s">
        <v>92</v>
      </c>
      <c r="C7" s="30" t="s">
        <v>93</v>
      </c>
    </row>
    <row r="8" spans="2:3" x14ac:dyDescent="0.3">
      <c r="B8" s="29" t="s">
        <v>94</v>
      </c>
      <c r="C8" s="30" t="s">
        <v>95</v>
      </c>
    </row>
    <row r="9" spans="2:3" x14ac:dyDescent="0.3">
      <c r="B9" s="29" t="s">
        <v>96</v>
      </c>
      <c r="C9" s="30" t="s">
        <v>97</v>
      </c>
    </row>
    <row r="10" spans="2:3" x14ac:dyDescent="0.3">
      <c r="B10" s="29" t="s">
        <v>98</v>
      </c>
      <c r="C10" s="30" t="s">
        <v>99</v>
      </c>
    </row>
    <row r="12" spans="2:3" x14ac:dyDescent="0.3">
      <c r="B12" s="39" t="s">
        <v>100</v>
      </c>
      <c r="C12" s="40"/>
    </row>
    <row r="13" spans="2:3" x14ac:dyDescent="0.3">
      <c r="B13" s="29" t="s">
        <v>101</v>
      </c>
      <c r="C13" s="30" t="s">
        <v>102</v>
      </c>
    </row>
    <row r="14" spans="2:3" x14ac:dyDescent="0.3">
      <c r="B14" s="29" t="s">
        <v>103</v>
      </c>
      <c r="C14" s="30" t="s">
        <v>104</v>
      </c>
    </row>
    <row r="15" spans="2:3" x14ac:dyDescent="0.3">
      <c r="B15" s="29" t="s">
        <v>105</v>
      </c>
      <c r="C15" s="30" t="s">
        <v>106</v>
      </c>
    </row>
    <row r="16" spans="2:3" x14ac:dyDescent="0.3">
      <c r="B16" s="29" t="s">
        <v>107</v>
      </c>
      <c r="C16" s="30" t="s">
        <v>108</v>
      </c>
    </row>
    <row r="17" spans="2:3" x14ac:dyDescent="0.3">
      <c r="B17" s="29" t="s">
        <v>109</v>
      </c>
      <c r="C17" s="30" t="s">
        <v>110</v>
      </c>
    </row>
    <row r="19" spans="2:3" x14ac:dyDescent="0.3">
      <c r="B19" s="39" t="s">
        <v>111</v>
      </c>
      <c r="C19" s="40"/>
    </row>
    <row r="20" spans="2:3" x14ac:dyDescent="0.3">
      <c r="B20" s="29" t="s">
        <v>112</v>
      </c>
      <c r="C20" s="30" t="s">
        <v>113</v>
      </c>
    </row>
    <row r="21" spans="2:3" x14ac:dyDescent="0.3">
      <c r="B21" s="29" t="s">
        <v>114</v>
      </c>
      <c r="C21" s="30" t="s">
        <v>115</v>
      </c>
    </row>
    <row r="22" spans="2:3" x14ac:dyDescent="0.3">
      <c r="B22" s="29" t="s">
        <v>116</v>
      </c>
      <c r="C22" s="30" t="s">
        <v>117</v>
      </c>
    </row>
    <row r="23" spans="2:3" x14ac:dyDescent="0.3">
      <c r="B23" s="29" t="s">
        <v>118</v>
      </c>
      <c r="C23" s="30" t="s">
        <v>119</v>
      </c>
    </row>
  </sheetData>
  <mergeCells count="3">
    <mergeCell ref="B19:C19"/>
    <mergeCell ref="B5:C5"/>
    <mergeCell ref="B12:C12"/>
  </mergeCells>
  <hyperlinks>
    <hyperlink ref="C6" r:id="rId1" xr:uid="{00000000-0004-0000-0300-000000000000}"/>
    <hyperlink ref="C7" r:id="rId2" xr:uid="{00000000-0004-0000-0300-000001000000}"/>
    <hyperlink ref="C8" r:id="rId3" xr:uid="{00000000-0004-0000-0300-000002000000}"/>
    <hyperlink ref="C9" r:id="rId4" xr:uid="{00000000-0004-0000-0300-000003000000}"/>
    <hyperlink ref="C10" r:id="rId5" xr:uid="{00000000-0004-0000-0300-000004000000}"/>
    <hyperlink ref="C13" r:id="rId6" xr:uid="{00000000-0004-0000-0300-000005000000}"/>
    <hyperlink ref="C14" r:id="rId7" xr:uid="{00000000-0004-0000-0300-000006000000}"/>
    <hyperlink ref="C15" r:id="rId8" xr:uid="{00000000-0004-0000-0300-000007000000}"/>
    <hyperlink ref="C16" r:id="rId9" xr:uid="{00000000-0004-0000-0300-000008000000}"/>
    <hyperlink ref="C17" r:id="rId10" xr:uid="{00000000-0004-0000-0300-000009000000}"/>
    <hyperlink ref="C20" r:id="rId11" xr:uid="{00000000-0004-0000-0300-00000A000000}"/>
    <hyperlink ref="C21" r:id="rId12" xr:uid="{00000000-0004-0000-0300-00000B000000}"/>
    <hyperlink ref="C22" r:id="rId13" xr:uid="{00000000-0004-0000-0300-00000C000000}"/>
    <hyperlink ref="C23" r:id="rId14" xr:uid="{00000000-0004-0000-0300-00000D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7D7F-F9D1-4806-A8C7-A83E5E209752}">
  <dimension ref="A1:C18"/>
  <sheetViews>
    <sheetView zoomScale="130" zoomScaleNormal="130" workbookViewId="0">
      <selection activeCell="D12" sqref="D12"/>
    </sheetView>
  </sheetViews>
  <sheetFormatPr defaultRowHeight="14.4" x14ac:dyDescent="0.3"/>
  <cols>
    <col min="1" max="1" width="18.44140625" customWidth="1"/>
    <col min="3" max="3" width="25.109375" customWidth="1"/>
    <col min="4" max="4" width="23.5546875" customWidth="1"/>
  </cols>
  <sheetData>
    <row r="1" spans="1:3" x14ac:dyDescent="0.3">
      <c r="A1" t="s">
        <v>137</v>
      </c>
      <c r="C1" t="s">
        <v>138</v>
      </c>
    </row>
    <row r="3" spans="1:3" x14ac:dyDescent="0.3">
      <c r="A3" t="s">
        <v>139</v>
      </c>
      <c r="C3" t="s">
        <v>157</v>
      </c>
    </row>
    <row r="4" spans="1:3" x14ac:dyDescent="0.3">
      <c r="A4" t="s">
        <v>140</v>
      </c>
      <c r="C4" t="s">
        <v>153</v>
      </c>
    </row>
    <row r="5" spans="1:3" x14ac:dyDescent="0.3">
      <c r="A5" t="s">
        <v>141</v>
      </c>
      <c r="C5" t="s">
        <v>154</v>
      </c>
    </row>
    <row r="6" spans="1:3" x14ac:dyDescent="0.3">
      <c r="C6" t="s">
        <v>156</v>
      </c>
    </row>
    <row r="7" spans="1:3" x14ac:dyDescent="0.3">
      <c r="C7" t="s">
        <v>155</v>
      </c>
    </row>
    <row r="8" spans="1:3" x14ac:dyDescent="0.3">
      <c r="A8" t="s">
        <v>142</v>
      </c>
      <c r="C8" t="s">
        <v>158</v>
      </c>
    </row>
    <row r="9" spans="1:3" x14ac:dyDescent="0.3">
      <c r="A9" t="s">
        <v>143</v>
      </c>
      <c r="C9" t="s">
        <v>159</v>
      </c>
    </row>
    <row r="10" spans="1:3" x14ac:dyDescent="0.3">
      <c r="A10" t="s">
        <v>144</v>
      </c>
      <c r="C10" t="s">
        <v>160</v>
      </c>
    </row>
    <row r="11" spans="1:3" x14ac:dyDescent="0.3">
      <c r="A11" t="s">
        <v>145</v>
      </c>
      <c r="C11" t="s">
        <v>165</v>
      </c>
    </row>
    <row r="12" spans="1:3" x14ac:dyDescent="0.3">
      <c r="A12" t="s">
        <v>146</v>
      </c>
      <c r="C12" t="s">
        <v>161</v>
      </c>
    </row>
    <row r="13" spans="1:3" x14ac:dyDescent="0.3">
      <c r="A13" t="s">
        <v>147</v>
      </c>
    </row>
    <row r="14" spans="1:3" x14ac:dyDescent="0.3">
      <c r="A14" t="s">
        <v>148</v>
      </c>
      <c r="C14" s="31" t="s">
        <v>162</v>
      </c>
    </row>
    <row r="15" spans="1:3" x14ac:dyDescent="0.3">
      <c r="A15" t="s">
        <v>149</v>
      </c>
      <c r="C15" t="s">
        <v>163</v>
      </c>
    </row>
    <row r="16" spans="1:3" x14ac:dyDescent="0.3">
      <c r="A16" t="s">
        <v>150</v>
      </c>
      <c r="C16" t="s">
        <v>164</v>
      </c>
    </row>
    <row r="17" spans="1:1" x14ac:dyDescent="0.3">
      <c r="A17" t="s">
        <v>151</v>
      </c>
    </row>
    <row r="18" spans="1:1" x14ac:dyDescent="0.3">
      <c r="A18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B1AB8-BB41-4A8A-AE55-200E0DDD1AD7}">
  <dimension ref="A1:A9"/>
  <sheetViews>
    <sheetView tabSelected="1" workbookViewId="0">
      <selection activeCell="B6" sqref="B6"/>
    </sheetView>
  </sheetViews>
  <sheetFormatPr defaultRowHeight="14.4" x14ac:dyDescent="0.3"/>
  <cols>
    <col min="1" max="1" width="19.77734375" customWidth="1"/>
  </cols>
  <sheetData>
    <row r="1" spans="1:1" x14ac:dyDescent="0.3">
      <c r="A1" t="s">
        <v>166</v>
      </c>
    </row>
    <row r="2" spans="1:1" x14ac:dyDescent="0.3">
      <c r="A2" t="s">
        <v>167</v>
      </c>
    </row>
    <row r="3" spans="1:1" x14ac:dyDescent="0.3">
      <c r="A3" t="s">
        <v>168</v>
      </c>
    </row>
    <row r="4" spans="1:1" x14ac:dyDescent="0.3">
      <c r="A4" t="s">
        <v>169</v>
      </c>
    </row>
    <row r="5" spans="1:1" x14ac:dyDescent="0.3">
      <c r="A5" t="s">
        <v>172</v>
      </c>
    </row>
    <row r="6" spans="1:1" x14ac:dyDescent="0.3">
      <c r="A6" t="s">
        <v>171</v>
      </c>
    </row>
    <row r="7" spans="1:1" x14ac:dyDescent="0.3">
      <c r="A7" t="s">
        <v>173</v>
      </c>
    </row>
    <row r="8" spans="1:1" x14ac:dyDescent="0.3">
      <c r="A8" t="s">
        <v>174</v>
      </c>
    </row>
    <row r="9" spans="1:1" x14ac:dyDescent="0.3">
      <c r="A9" t="s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workbookViewId="0"/>
  </sheetViews>
  <sheetFormatPr defaultRowHeight="14.4" x14ac:dyDescent="0.3"/>
  <sheetData>
    <row r="1" spans="1:2" x14ac:dyDescent="0.3">
      <c r="A1" t="s">
        <v>120</v>
      </c>
      <c r="B1" t="s">
        <v>121</v>
      </c>
    </row>
    <row r="2" spans="1:2" x14ac:dyDescent="0.3">
      <c r="A2" t="s">
        <v>122</v>
      </c>
      <c r="B2">
        <v>72000</v>
      </c>
    </row>
    <row r="3" spans="1:2" x14ac:dyDescent="0.3">
      <c r="A3" t="s">
        <v>123</v>
      </c>
      <c r="B3">
        <v>108000</v>
      </c>
    </row>
    <row r="4" spans="1:2" x14ac:dyDescent="0.3">
      <c r="A4" t="s">
        <v>124</v>
      </c>
      <c r="B4">
        <v>126000</v>
      </c>
    </row>
    <row r="5" spans="1:2" x14ac:dyDescent="0.3">
      <c r="A5" t="s">
        <v>125</v>
      </c>
      <c r="B5">
        <v>108000</v>
      </c>
    </row>
    <row r="6" spans="1:2" x14ac:dyDescent="0.3">
      <c r="A6" t="s">
        <v>42</v>
      </c>
      <c r="B6">
        <v>54000</v>
      </c>
    </row>
    <row r="7" spans="1:2" x14ac:dyDescent="0.3">
      <c r="A7" t="s">
        <v>43</v>
      </c>
      <c r="B7">
        <v>45000</v>
      </c>
    </row>
    <row r="8" spans="1:2" x14ac:dyDescent="0.3">
      <c r="A8" t="s">
        <v>126</v>
      </c>
      <c r="B8">
        <v>144000</v>
      </c>
    </row>
    <row r="9" spans="1:2" x14ac:dyDescent="0.3">
      <c r="A9" t="s">
        <v>127</v>
      </c>
      <c r="B9">
        <v>108000</v>
      </c>
    </row>
    <row r="10" spans="1:2" x14ac:dyDescent="0.3">
      <c r="A10" t="s">
        <v>128</v>
      </c>
      <c r="B10">
        <v>108000</v>
      </c>
    </row>
    <row r="11" spans="1:2" x14ac:dyDescent="0.3">
      <c r="A11" t="s">
        <v>129</v>
      </c>
      <c r="B11">
        <v>126000</v>
      </c>
    </row>
    <row r="12" spans="1:2" x14ac:dyDescent="0.3">
      <c r="A12" t="s">
        <v>130</v>
      </c>
      <c r="B12">
        <v>108000</v>
      </c>
    </row>
    <row r="13" spans="1:2" x14ac:dyDescent="0.3">
      <c r="A13" t="s">
        <v>131</v>
      </c>
      <c r="B13">
        <v>63000</v>
      </c>
    </row>
    <row r="14" spans="1:2" x14ac:dyDescent="0.3">
      <c r="A14" t="s">
        <v>132</v>
      </c>
      <c r="B14">
        <v>72000</v>
      </c>
    </row>
    <row r="15" spans="1:2" x14ac:dyDescent="0.3">
      <c r="A15" t="s">
        <v>133</v>
      </c>
      <c r="B15">
        <v>126000</v>
      </c>
    </row>
    <row r="16" spans="1:2" x14ac:dyDescent="0.3">
      <c r="A16" t="s">
        <v>57</v>
      </c>
      <c r="B16">
        <v>54000</v>
      </c>
    </row>
    <row r="17" spans="1:2" x14ac:dyDescent="0.3">
      <c r="A17" t="s">
        <v>134</v>
      </c>
      <c r="B17">
        <v>108000</v>
      </c>
    </row>
    <row r="18" spans="1:2" x14ac:dyDescent="0.3">
      <c r="A18" t="s">
        <v>135</v>
      </c>
      <c r="B18">
        <v>108000</v>
      </c>
    </row>
    <row r="19" spans="1:2" x14ac:dyDescent="0.3">
      <c r="A19" t="s">
        <v>136</v>
      </c>
      <c r="B19">
        <v>54000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Feature Estimate</vt:lpstr>
      <vt:lpstr>Custom vs SaaS</vt:lpstr>
      <vt:lpstr>References</vt:lpstr>
      <vt:lpstr>Chart</vt:lpstr>
      <vt:lpstr>cat_type</vt:lpstr>
      <vt:lpstr>supplier</vt:lpstr>
      <vt:lpstr>_chartdata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ฺฺBoonyarith Akkarasongthum</cp:lastModifiedBy>
  <dcterms:created xsi:type="dcterms:W3CDTF">2026-07-09T07:38:08Z</dcterms:created>
  <dcterms:modified xsi:type="dcterms:W3CDTF">2026-07-16T08:10:54Z</dcterms:modified>
</cp:coreProperties>
</file>